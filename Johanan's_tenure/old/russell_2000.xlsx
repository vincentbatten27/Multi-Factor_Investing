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imturk/Desktop/Multi_Factor_Spring_24/"/>
    </mc:Choice>
  </mc:AlternateContent>
  <xr:revisionPtr revIDLastSave="0" documentId="13_ncr:1_{8DF9D37F-E62A-7A4C-AA4D-33F9CDE5E44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haracteristics" sheetId="1" r:id="rId1"/>
    <sheet name="Performance" sheetId="2" r:id="rId2"/>
    <sheet name="Notes" sheetId="3" r:id="rId3"/>
  </sheets>
  <definedNames>
    <definedName name="_xlnm._FilterDatabase" localSheetId="0" hidden="1">Characteristics!$A$1:$B$1943</definedName>
    <definedName name="_xlnm._FilterDatabase" localSheetId="1" hidden="1">Performance!$A$1:$I$1943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43" i="2" l="1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<sst xmlns="http://schemas.openxmlformats.org/spreadsheetml/2006/main" count="3897" uniqueCount="1954">
  <si>
    <t>Name</t>
  </si>
  <si>
    <t>Ticker</t>
  </si>
  <si>
    <t>AADI</t>
  </si>
  <si>
    <t>AAN</t>
  </si>
  <si>
    <t>AAON</t>
  </si>
  <si>
    <t>AAT</t>
  </si>
  <si>
    <t>ABCB</t>
  </si>
  <si>
    <t>ABG</t>
  </si>
  <si>
    <t>ABM</t>
  </si>
  <si>
    <t>ABR</t>
  </si>
  <si>
    <t>ABUS</t>
  </si>
  <si>
    <t>ACA</t>
  </si>
  <si>
    <t>ACAD</t>
  </si>
  <si>
    <t>ACCD</t>
  </si>
  <si>
    <t>ACCO</t>
  </si>
  <si>
    <t>ACDC</t>
  </si>
  <si>
    <t>ACEL</t>
  </si>
  <si>
    <t>ACET</t>
  </si>
  <si>
    <t>ACHR</t>
  </si>
  <si>
    <t>ACIC</t>
  </si>
  <si>
    <t>ACIW</t>
  </si>
  <si>
    <t>ACLS</t>
  </si>
  <si>
    <t>ACLX</t>
  </si>
  <si>
    <t>ACMR</t>
  </si>
  <si>
    <t>ACNB</t>
  </si>
  <si>
    <t>ACRE</t>
  </si>
  <si>
    <t>ACRS</t>
  </si>
  <si>
    <t>ACRV</t>
  </si>
  <si>
    <t>ACT</t>
  </si>
  <si>
    <t>ACTG</t>
  </si>
  <si>
    <t>ACVA</t>
  </si>
  <si>
    <t>ADEA</t>
  </si>
  <si>
    <t>ADMA</t>
  </si>
  <si>
    <t>ADNT</t>
  </si>
  <si>
    <t>ADPT</t>
  </si>
  <si>
    <t>ADTN</t>
  </si>
  <si>
    <t>ADUS</t>
  </si>
  <si>
    <t>ADV</t>
  </si>
  <si>
    <t>AEHR</t>
  </si>
  <si>
    <t>AEIS</t>
  </si>
  <si>
    <t>AEL</t>
  </si>
  <si>
    <t>AEO</t>
  </si>
  <si>
    <t>AESI</t>
  </si>
  <si>
    <t>AEVA</t>
  </si>
  <si>
    <t>AFCG</t>
  </si>
  <si>
    <t>AFRI</t>
  </si>
  <si>
    <t>AGEN</t>
  </si>
  <si>
    <t>AGIO</t>
  </si>
  <si>
    <t>AGM</t>
  </si>
  <si>
    <t>AGS</t>
  </si>
  <si>
    <t>AGTI</t>
  </si>
  <si>
    <t>AGX</t>
  </si>
  <si>
    <t>AGYS</t>
  </si>
  <si>
    <t>AHCO</t>
  </si>
  <si>
    <t>AHH</t>
  </si>
  <si>
    <t>AI</t>
  </si>
  <si>
    <t>AIN</t>
  </si>
  <si>
    <t>AIR</t>
  </si>
  <si>
    <t>AIRS</t>
  </si>
  <si>
    <t>AIT</t>
  </si>
  <si>
    <t>AIV</t>
  </si>
  <si>
    <t>AKR</t>
  </si>
  <si>
    <t>AKRO</t>
  </si>
  <si>
    <t>AKTS</t>
  </si>
  <si>
    <t>AKYA</t>
  </si>
  <si>
    <t>ALCO</t>
  </si>
  <si>
    <t>ALDX</t>
  </si>
  <si>
    <t>ALE</t>
  </si>
  <si>
    <t>ALEC</t>
  </si>
  <si>
    <t>ALEX</t>
  </si>
  <si>
    <t>ALG</t>
  </si>
  <si>
    <t>ALGT</t>
  </si>
  <si>
    <t>ALHC</t>
  </si>
  <si>
    <t>ALIT</t>
  </si>
  <si>
    <t>ALKS</t>
  </si>
  <si>
    <t>ALKT</t>
  </si>
  <si>
    <t>ALLK</t>
  </si>
  <si>
    <t>ALLO</t>
  </si>
  <si>
    <t>ALNT</t>
  </si>
  <si>
    <t>ALPN</t>
  </si>
  <si>
    <t>ALRM</t>
  </si>
  <si>
    <t>ALRS</t>
  </si>
  <si>
    <t>ALT</t>
  </si>
  <si>
    <t>ALTG</t>
  </si>
  <si>
    <t>ALTI</t>
  </si>
  <si>
    <t>ALTM</t>
  </si>
  <si>
    <t>ALTR</t>
  </si>
  <si>
    <t>ALVR</t>
  </si>
  <si>
    <t>ALX</t>
  </si>
  <si>
    <t>ALXO</t>
  </si>
  <si>
    <t>AMAL</t>
  </si>
  <si>
    <t>AMBA</t>
  </si>
  <si>
    <t>AMBC</t>
  </si>
  <si>
    <t>AMCX</t>
  </si>
  <si>
    <t>AMEH</t>
  </si>
  <si>
    <t>AMK</t>
  </si>
  <si>
    <t>AMKR</t>
  </si>
  <si>
    <t>AMLX</t>
  </si>
  <si>
    <t>AMN</t>
  </si>
  <si>
    <t>AMNB</t>
  </si>
  <si>
    <t>AMPH</t>
  </si>
  <si>
    <t>AMPL</t>
  </si>
  <si>
    <t>AMPS</t>
  </si>
  <si>
    <t>AMPX</t>
  </si>
  <si>
    <t>AMPY</t>
  </si>
  <si>
    <t>AMR</t>
  </si>
  <si>
    <t>AMRC</t>
  </si>
  <si>
    <t>AMRK</t>
  </si>
  <si>
    <t>AMRX</t>
  </si>
  <si>
    <t>AMSF</t>
  </si>
  <si>
    <t>AMSWA</t>
  </si>
  <si>
    <t>AMTB</t>
  </si>
  <si>
    <t>AMWD</t>
  </si>
  <si>
    <t>AMWL</t>
  </si>
  <si>
    <t>ANAB</t>
  </si>
  <si>
    <t>ANDE</t>
  </si>
  <si>
    <t>ANF</t>
  </si>
  <si>
    <t>ANGO</t>
  </si>
  <si>
    <t>ANIK</t>
  </si>
  <si>
    <t>ANIP</t>
  </si>
  <si>
    <t>ANNX</t>
  </si>
  <si>
    <t>AOMR</t>
  </si>
  <si>
    <t>AORT</t>
  </si>
  <si>
    <t>AOSL</t>
  </si>
  <si>
    <t>APAM</t>
  </si>
  <si>
    <t>APG</t>
  </si>
  <si>
    <t>APGE</t>
  </si>
  <si>
    <t>APLD</t>
  </si>
  <si>
    <t>APLE</t>
  </si>
  <si>
    <t>APOG</t>
  </si>
  <si>
    <t>APPF</t>
  </si>
  <si>
    <t>APPN</t>
  </si>
  <si>
    <t>APPS</t>
  </si>
  <si>
    <t>ARAY</t>
  </si>
  <si>
    <t>ARCB</t>
  </si>
  <si>
    <t>ARCH</t>
  </si>
  <si>
    <t>ARCT</t>
  </si>
  <si>
    <t>ARDX</t>
  </si>
  <si>
    <t>ARI</t>
  </si>
  <si>
    <t>ARIS</t>
  </si>
  <si>
    <t>ARKO</t>
  </si>
  <si>
    <t>ARL</t>
  </si>
  <si>
    <t>ARLO</t>
  </si>
  <si>
    <t>AROC</t>
  </si>
  <si>
    <t>AROW</t>
  </si>
  <si>
    <t>ARQT</t>
  </si>
  <si>
    <t>ARR</t>
  </si>
  <si>
    <t>ARRY</t>
  </si>
  <si>
    <t>ARTNA</t>
  </si>
  <si>
    <t>ARVN</t>
  </si>
  <si>
    <t>ARWR</t>
  </si>
  <si>
    <t>ASAN</t>
  </si>
  <si>
    <t>ASB</t>
  </si>
  <si>
    <t>ASC</t>
  </si>
  <si>
    <t>ASGN</t>
  </si>
  <si>
    <t>ASIX</t>
  </si>
  <si>
    <t>ASLE</t>
  </si>
  <si>
    <t>ASO</t>
  </si>
  <si>
    <t>ASPN</t>
  </si>
  <si>
    <t>ASRT</t>
  </si>
  <si>
    <t>ASTE</t>
  </si>
  <si>
    <t>ASTS</t>
  </si>
  <si>
    <t>ASUR</t>
  </si>
  <si>
    <t>ATEC</t>
  </si>
  <si>
    <t>ATEN</t>
  </si>
  <si>
    <t>ATEX</t>
  </si>
  <si>
    <t>ATGE</t>
  </si>
  <si>
    <t>ATI</t>
  </si>
  <si>
    <t>ATKR</t>
  </si>
  <si>
    <t>ATLC</t>
  </si>
  <si>
    <t>ATLO</t>
  </si>
  <si>
    <t>ATMU</t>
  </si>
  <si>
    <t>ATNI</t>
  </si>
  <si>
    <t>ATNM</t>
  </si>
  <si>
    <t>ATOM</t>
  </si>
  <si>
    <t>ATRA</t>
  </si>
  <si>
    <t>ATRC</t>
  </si>
  <si>
    <t>ATRI</t>
  </si>
  <si>
    <t>ATRO</t>
  </si>
  <si>
    <t>ATSG</t>
  </si>
  <si>
    <t>ATXS</t>
  </si>
  <si>
    <t>AUB</t>
  </si>
  <si>
    <t>AUPH</t>
  </si>
  <si>
    <t>AUR</t>
  </si>
  <si>
    <t>AURA</t>
  </si>
  <si>
    <t>AVA</t>
  </si>
  <si>
    <t>AVAH</t>
  </si>
  <si>
    <t>AVAV</t>
  </si>
  <si>
    <t>AVD</t>
  </si>
  <si>
    <t>AVDX</t>
  </si>
  <si>
    <t>AVIR</t>
  </si>
  <si>
    <t>AVNS</t>
  </si>
  <si>
    <t>AVNT</t>
  </si>
  <si>
    <t>AVNW</t>
  </si>
  <si>
    <t>AVO</t>
  </si>
  <si>
    <t>AVPT</t>
  </si>
  <si>
    <t>AVTE</t>
  </si>
  <si>
    <t>AVXL</t>
  </si>
  <si>
    <t>AWR</t>
  </si>
  <si>
    <t>AX</t>
  </si>
  <si>
    <t>AXGN</t>
  </si>
  <si>
    <t>AXL</t>
  </si>
  <si>
    <t>AXNX</t>
  </si>
  <si>
    <t>AXSM</t>
  </si>
  <si>
    <t>AZZ</t>
  </si>
  <si>
    <t>B</t>
  </si>
  <si>
    <t>BALY</t>
  </si>
  <si>
    <t>BANC</t>
  </si>
  <si>
    <t>BAND</t>
  </si>
  <si>
    <t>BANF</t>
  </si>
  <si>
    <t>BANR</t>
  </si>
  <si>
    <t>BARK</t>
  </si>
  <si>
    <t>BASE</t>
  </si>
  <si>
    <t>BATRA</t>
  </si>
  <si>
    <t>BATRK</t>
  </si>
  <si>
    <t>BBAI</t>
  </si>
  <si>
    <t>BBCP</t>
  </si>
  <si>
    <t>BBIO</t>
  </si>
  <si>
    <t>BBSI</t>
  </si>
  <si>
    <t>BBUC</t>
  </si>
  <si>
    <t>BBW</t>
  </si>
  <si>
    <t>BCAB</t>
  </si>
  <si>
    <t>BCBP</t>
  </si>
  <si>
    <t>BCC</t>
  </si>
  <si>
    <t>BCML</t>
  </si>
  <si>
    <t>BCO</t>
  </si>
  <si>
    <t>BCOV</t>
  </si>
  <si>
    <t>BCPC</t>
  </si>
  <si>
    <t>BCRX</t>
  </si>
  <si>
    <t>BDC</t>
  </si>
  <si>
    <t>BDN</t>
  </si>
  <si>
    <t>BE</t>
  </si>
  <si>
    <t>BEAM</t>
  </si>
  <si>
    <t>BECN</t>
  </si>
  <si>
    <t>BELFB</t>
  </si>
  <si>
    <t>BFC</t>
  </si>
  <si>
    <t>BFH</t>
  </si>
  <si>
    <t>BFLY</t>
  </si>
  <si>
    <t>BFS</t>
  </si>
  <si>
    <t>BFST</t>
  </si>
  <si>
    <t>BGC</t>
  </si>
  <si>
    <t>BGFV</t>
  </si>
  <si>
    <t>BGS</t>
  </si>
  <si>
    <t>BGXX</t>
  </si>
  <si>
    <t>BH</t>
  </si>
  <si>
    <t>BHB</t>
  </si>
  <si>
    <t>BHE</t>
  </si>
  <si>
    <t>BHIL</t>
  </si>
  <si>
    <t>BHLB</t>
  </si>
  <si>
    <t>BHR</t>
  </si>
  <si>
    <t>BHRB</t>
  </si>
  <si>
    <t>BHVN</t>
  </si>
  <si>
    <t>BIG</t>
  </si>
  <si>
    <t>BIGC</t>
  </si>
  <si>
    <t>BIPC</t>
  </si>
  <si>
    <t>BIRD</t>
  </si>
  <si>
    <t>BJRI</t>
  </si>
  <si>
    <t>BKD</t>
  </si>
  <si>
    <t>BKE</t>
  </si>
  <si>
    <t>BKH</t>
  </si>
  <si>
    <t>BKKT</t>
  </si>
  <si>
    <t>BKSY</t>
  </si>
  <si>
    <t>BKU</t>
  </si>
  <si>
    <t>BL</t>
  </si>
  <si>
    <t>BLBD</t>
  </si>
  <si>
    <t>BLDE</t>
  </si>
  <si>
    <t>BLFS</t>
  </si>
  <si>
    <t>BLFY</t>
  </si>
  <si>
    <t>BLKB</t>
  </si>
  <si>
    <t>BLMN</t>
  </si>
  <si>
    <t>BLNK</t>
  </si>
  <si>
    <t>BLUE</t>
  </si>
  <si>
    <t>BLX</t>
  </si>
  <si>
    <t>BMBL</t>
  </si>
  <si>
    <t>BMEA</t>
  </si>
  <si>
    <t>BMI</t>
  </si>
  <si>
    <t>BMRC</t>
  </si>
  <si>
    <t>BNL</t>
  </si>
  <si>
    <t>BOC</t>
  </si>
  <si>
    <t>BOH</t>
  </si>
  <si>
    <t>BOOM</t>
  </si>
  <si>
    <t>BOOT</t>
  </si>
  <si>
    <t>BORR</t>
  </si>
  <si>
    <t>BOWL</t>
  </si>
  <si>
    <t>BOX</t>
  </si>
  <si>
    <t>BPMC</t>
  </si>
  <si>
    <t>BPRN</t>
  </si>
  <si>
    <t>BRBR</t>
  </si>
  <si>
    <t>BRBS</t>
  </si>
  <si>
    <t>BRCC</t>
  </si>
  <si>
    <t>BRKL</t>
  </si>
  <si>
    <t>BRP</t>
  </si>
  <si>
    <t>BRSP</t>
  </si>
  <si>
    <t>BRT</t>
  </si>
  <si>
    <t>BRY</t>
  </si>
  <si>
    <t>BRZE</t>
  </si>
  <si>
    <t>BSIG</t>
  </si>
  <si>
    <t>BSRR</t>
  </si>
  <si>
    <t>BSVN</t>
  </si>
  <si>
    <t>BTAI</t>
  </si>
  <si>
    <t>BTBT</t>
  </si>
  <si>
    <t>BTMD</t>
  </si>
  <si>
    <t>BTU</t>
  </si>
  <si>
    <t>BUSE</t>
  </si>
  <si>
    <t>BV</t>
  </si>
  <si>
    <t>BW</t>
  </si>
  <si>
    <t>BWB</t>
  </si>
  <si>
    <t>BWFG</t>
  </si>
  <si>
    <t>BWMN</t>
  </si>
  <si>
    <t>BXC</t>
  </si>
  <si>
    <t>BXMT</t>
  </si>
  <si>
    <t>BY</t>
  </si>
  <si>
    <t>BYND</t>
  </si>
  <si>
    <t>BYON</t>
  </si>
  <si>
    <t>BZH</t>
  </si>
  <si>
    <t>CABA</t>
  </si>
  <si>
    <t>CAC</t>
  </si>
  <si>
    <t>CADE</t>
  </si>
  <si>
    <t>CAKE</t>
  </si>
  <si>
    <t>CAL</t>
  </si>
  <si>
    <t>CALM</t>
  </si>
  <si>
    <t>CALX</t>
  </si>
  <si>
    <t>CARA</t>
  </si>
  <si>
    <t>CARE</t>
  </si>
  <si>
    <t>CARG</t>
  </si>
  <si>
    <t>CARM</t>
  </si>
  <si>
    <t>CARS</t>
  </si>
  <si>
    <t>CASH</t>
  </si>
  <si>
    <t>CASS</t>
  </si>
  <si>
    <t>CATC</t>
  </si>
  <si>
    <t>CATO</t>
  </si>
  <si>
    <t>CATY</t>
  </si>
  <si>
    <t>CBAN</t>
  </si>
  <si>
    <t>CBAY</t>
  </si>
  <si>
    <t>CBL</t>
  </si>
  <si>
    <t>CBNK</t>
  </si>
  <si>
    <t>CBRL</t>
  </si>
  <si>
    <t>CBT</t>
  </si>
  <si>
    <t>CBU</t>
  </si>
  <si>
    <t>CBZ</t>
  </si>
  <si>
    <t>CCB</t>
  </si>
  <si>
    <t>CCBG</t>
  </si>
  <si>
    <t>CCNE</t>
  </si>
  <si>
    <t>CCO</t>
  </si>
  <si>
    <t>CCOI</t>
  </si>
  <si>
    <t>CCRD</t>
  </si>
  <si>
    <t>CCRN</t>
  </si>
  <si>
    <t>CCS</t>
  </si>
  <si>
    <t>CCSI</t>
  </si>
  <si>
    <t>CDE</t>
  </si>
  <si>
    <t>CDLX</t>
  </si>
  <si>
    <t>CDMO</t>
  </si>
  <si>
    <t>CDNA</t>
  </si>
  <si>
    <t>CDP</t>
  </si>
  <si>
    <t>CDRE</t>
  </si>
  <si>
    <t>CDXS</t>
  </si>
  <si>
    <t>CDZI</t>
  </si>
  <si>
    <t>CECO</t>
  </si>
  <si>
    <t>CEIX</t>
  </si>
  <si>
    <t>CELC</t>
  </si>
  <si>
    <t>CENT</t>
  </si>
  <si>
    <t>CENTA</t>
  </si>
  <si>
    <t>CENX</t>
  </si>
  <si>
    <t>CERE</t>
  </si>
  <si>
    <t>CERS</t>
  </si>
  <si>
    <t>CEVA</t>
  </si>
  <si>
    <t>CFB</t>
  </si>
  <si>
    <t>CFFI</t>
  </si>
  <si>
    <t>CFFN</t>
  </si>
  <si>
    <t>CGEM</t>
  </si>
  <si>
    <t>CHCO</t>
  </si>
  <si>
    <t>CHCT</t>
  </si>
  <si>
    <t>CHEF</t>
  </si>
  <si>
    <t>CHGG</t>
  </si>
  <si>
    <t>CHMG</t>
  </si>
  <si>
    <t>CHRD</t>
  </si>
  <si>
    <t>CHRS</t>
  </si>
  <si>
    <t>CHUY</t>
  </si>
  <si>
    <t>CHX</t>
  </si>
  <si>
    <t>CIFR</t>
  </si>
  <si>
    <t>CIM</t>
  </si>
  <si>
    <t>CIO</t>
  </si>
  <si>
    <t>CIVB</t>
  </si>
  <si>
    <t>CIVI</t>
  </si>
  <si>
    <t>CIX</t>
  </si>
  <si>
    <t>CLAR</t>
  </si>
  <si>
    <t>CLB</t>
  </si>
  <si>
    <t>CLBK</t>
  </si>
  <si>
    <t>CLDT</t>
  </si>
  <si>
    <t>CLDX</t>
  </si>
  <si>
    <t>CLFD</t>
  </si>
  <si>
    <t>CLMB</t>
  </si>
  <si>
    <t>CLNE</t>
  </si>
  <si>
    <t>CLPR</t>
  </si>
  <si>
    <t>CLPT</t>
  </si>
  <si>
    <t>CLSK</t>
  </si>
  <si>
    <t>CLW</t>
  </si>
  <si>
    <t>CMAX</t>
  </si>
  <si>
    <t>CMBM</t>
  </si>
  <si>
    <t>CMC</t>
  </si>
  <si>
    <t>CMCL</t>
  </si>
  <si>
    <t>CMCO</t>
  </si>
  <si>
    <t>CMP</t>
  </si>
  <si>
    <t>CMPO</t>
  </si>
  <si>
    <t>CMPR</t>
  </si>
  <si>
    <t>CMPX</t>
  </si>
  <si>
    <t>CMRE</t>
  </si>
  <si>
    <t>CMT</t>
  </si>
  <si>
    <t>CMTG</t>
  </si>
  <si>
    <t>CMTL</t>
  </si>
  <si>
    <t>CNDT</t>
  </si>
  <si>
    <t>CNK</t>
  </si>
  <si>
    <t>CNMD</t>
  </si>
  <si>
    <t>CNNE</t>
  </si>
  <si>
    <t>CNO</t>
  </si>
  <si>
    <t>CNOB</t>
  </si>
  <si>
    <t>CNS</t>
  </si>
  <si>
    <t>CNSL</t>
  </si>
  <si>
    <t>CNTY</t>
  </si>
  <si>
    <t>CNX</t>
  </si>
  <si>
    <t>CNXN</t>
  </si>
  <si>
    <t>COCO</t>
  </si>
  <si>
    <t>CODI</t>
  </si>
  <si>
    <t>COFS</t>
  </si>
  <si>
    <t>COGT</t>
  </si>
  <si>
    <t>COHU</t>
  </si>
  <si>
    <t>COKE</t>
  </si>
  <si>
    <t>COLL</t>
  </si>
  <si>
    <t>COMM</t>
  </si>
  <si>
    <t>COMP</t>
  </si>
  <si>
    <t>COOK</t>
  </si>
  <si>
    <t>COOP</t>
  </si>
  <si>
    <t>CORT</t>
  </si>
  <si>
    <t>COUR</t>
  </si>
  <si>
    <t>CPE</t>
  </si>
  <si>
    <t>CPF</t>
  </si>
  <si>
    <t>CPK</t>
  </si>
  <si>
    <t>CPRX</t>
  </si>
  <si>
    <t>CPS</t>
  </si>
  <si>
    <t>CPSI</t>
  </si>
  <si>
    <t>CPSS</t>
  </si>
  <si>
    <t>CRAI</t>
  </si>
  <si>
    <t>CRBU</t>
  </si>
  <si>
    <t>CRC</t>
  </si>
  <si>
    <t>CRCT</t>
  </si>
  <si>
    <t>CRDO</t>
  </si>
  <si>
    <t>CRGE</t>
  </si>
  <si>
    <t>CRGY</t>
  </si>
  <si>
    <t>CRK</t>
  </si>
  <si>
    <t>CRMD</t>
  </si>
  <si>
    <t>CRMT</t>
  </si>
  <si>
    <t>CRNC</t>
  </si>
  <si>
    <t>CRNX</t>
  </si>
  <si>
    <t>CRS</t>
  </si>
  <si>
    <t>CRSR</t>
  </si>
  <si>
    <t>CRVL</t>
  </si>
  <si>
    <t>CSGS</t>
  </si>
  <si>
    <t>CSR</t>
  </si>
  <si>
    <t>CSTL</t>
  </si>
  <si>
    <t>CSTM</t>
  </si>
  <si>
    <t>CSTR</t>
  </si>
  <si>
    <t>CSV</t>
  </si>
  <si>
    <t>CSWI</t>
  </si>
  <si>
    <t>CTBI</t>
  </si>
  <si>
    <t>CTGO</t>
  </si>
  <si>
    <t>CTKB</t>
  </si>
  <si>
    <t>CTLP</t>
  </si>
  <si>
    <t>CTO</t>
  </si>
  <si>
    <t>CTOS</t>
  </si>
  <si>
    <t>CTRE</t>
  </si>
  <si>
    <t>CTS</t>
  </si>
  <si>
    <t>CTXR</t>
  </si>
  <si>
    <t>CUBI</t>
  </si>
  <si>
    <t>CUE</t>
  </si>
  <si>
    <t>CURV</t>
  </si>
  <si>
    <t>CUTR</t>
  </si>
  <si>
    <t>CVBF</t>
  </si>
  <si>
    <t>CVCO</t>
  </si>
  <si>
    <t>CVCY</t>
  </si>
  <si>
    <t>CVGI</t>
  </si>
  <si>
    <t>CVGW</t>
  </si>
  <si>
    <t>CVI</t>
  </si>
  <si>
    <t>CVLG</t>
  </si>
  <si>
    <t>CVLT</t>
  </si>
  <si>
    <t>CVLY</t>
  </si>
  <si>
    <t>CVNA</t>
  </si>
  <si>
    <t>CVRX</t>
  </si>
  <si>
    <t>CWCO</t>
  </si>
  <si>
    <t>CWH</t>
  </si>
  <si>
    <t>CWK</t>
  </si>
  <si>
    <t>CWST</t>
  </si>
  <si>
    <t>CWT</t>
  </si>
  <si>
    <t>CXM</t>
  </si>
  <si>
    <t>CXW</t>
  </si>
  <si>
    <t>CYH</t>
  </si>
  <si>
    <t>CYRX</t>
  </si>
  <si>
    <t>CYTK</t>
  </si>
  <si>
    <t>CZFS</t>
  </si>
  <si>
    <t>CZNC</t>
  </si>
  <si>
    <t>DAKT</t>
  </si>
  <si>
    <t>DAN</t>
  </si>
  <si>
    <t>DAWN</t>
  </si>
  <si>
    <t>DBI</t>
  </si>
  <si>
    <t>DBRG</t>
  </si>
  <si>
    <t>DC</t>
  </si>
  <si>
    <t>DCGO</t>
  </si>
  <si>
    <t>DCO</t>
  </si>
  <si>
    <t>DCOM</t>
  </si>
  <si>
    <t>DCPH</t>
  </si>
  <si>
    <t>DDD</t>
  </si>
  <si>
    <t>DDS</t>
  </si>
  <si>
    <t>DEA</t>
  </si>
  <si>
    <t>DEI</t>
  </si>
  <si>
    <t>DENN</t>
  </si>
  <si>
    <t>DFH</t>
  </si>
  <si>
    <t>DFIN</t>
  </si>
  <si>
    <t>DFLI</t>
  </si>
  <si>
    <t>DGICA</t>
  </si>
  <si>
    <t>DGII</t>
  </si>
  <si>
    <t>DH</t>
  </si>
  <si>
    <t>DHC</t>
  </si>
  <si>
    <t>DHIL</t>
  </si>
  <si>
    <t>DHT</t>
  </si>
  <si>
    <t>DHX</t>
  </si>
  <si>
    <t>DIN</t>
  </si>
  <si>
    <t>DIOD</t>
  </si>
  <si>
    <t>DJCO</t>
  </si>
  <si>
    <t>DK</t>
  </si>
  <si>
    <t>DLTH</t>
  </si>
  <si>
    <t>DLX</t>
  </si>
  <si>
    <t>DM</t>
  </si>
  <si>
    <t>DMRC</t>
  </si>
  <si>
    <t>DNLI</t>
  </si>
  <si>
    <t>DNMR</t>
  </si>
  <si>
    <t>DNOW</t>
  </si>
  <si>
    <t>DNUT</t>
  </si>
  <si>
    <t>DO</t>
  </si>
  <si>
    <t>DOC</t>
  </si>
  <si>
    <t>DOCN</t>
  </si>
  <si>
    <t>DOLE</t>
  </si>
  <si>
    <t>DOMO</t>
  </si>
  <si>
    <t>DOOR</t>
  </si>
  <si>
    <t>DORM</t>
  </si>
  <si>
    <t>DOUG</t>
  </si>
  <si>
    <t>DRH</t>
  </si>
  <si>
    <t>DRQ</t>
  </si>
  <si>
    <t>DRS</t>
  </si>
  <si>
    <t>DSGN</t>
  </si>
  <si>
    <t>DSGR</t>
  </si>
  <si>
    <t>DSKE</t>
  </si>
  <si>
    <t>DSP</t>
  </si>
  <si>
    <t>DTC</t>
  </si>
  <si>
    <t>DUOL</t>
  </si>
  <si>
    <t>DVAX</t>
  </si>
  <si>
    <t>DX</t>
  </si>
  <si>
    <t>DXLG</t>
  </si>
  <si>
    <t>DXPE</t>
  </si>
  <si>
    <t>DY</t>
  </si>
  <si>
    <t>DYN</t>
  </si>
  <si>
    <t>DZSI</t>
  </si>
  <si>
    <t>EAF</t>
  </si>
  <si>
    <t>EAT</t>
  </si>
  <si>
    <t>EB</t>
  </si>
  <si>
    <t>EBC</t>
  </si>
  <si>
    <t>EBF</t>
  </si>
  <si>
    <t>EBS</t>
  </si>
  <si>
    <t>EBTC</t>
  </si>
  <si>
    <t>ECPG</t>
  </si>
  <si>
    <t>ECVT</t>
  </si>
  <si>
    <t>EDIT</t>
  </si>
  <si>
    <t>EE</t>
  </si>
  <si>
    <t>EEX</t>
  </si>
  <si>
    <t>EFC</t>
  </si>
  <si>
    <t>EFSC</t>
  </si>
  <si>
    <t>EGAN</t>
  </si>
  <si>
    <t>EGBN</t>
  </si>
  <si>
    <t>EGHT</t>
  </si>
  <si>
    <t>EGLE</t>
  </si>
  <si>
    <t>EGRX</t>
  </si>
  <si>
    <t>EGY</t>
  </si>
  <si>
    <t>EHAB</t>
  </si>
  <si>
    <t>EHTH</t>
  </si>
  <si>
    <t>EIG</t>
  </si>
  <si>
    <t>ELA</t>
  </si>
  <si>
    <t>ELF</t>
  </si>
  <si>
    <t>ELME</t>
  </si>
  <si>
    <t>ELVN</t>
  </si>
  <si>
    <t>EMBC</t>
  </si>
  <si>
    <t>ENFN</t>
  </si>
  <si>
    <t>ENR</t>
  </si>
  <si>
    <t>ENS</t>
  </si>
  <si>
    <t>ENSG</t>
  </si>
  <si>
    <t>ENTA</t>
  </si>
  <si>
    <t>ENV</t>
  </si>
  <si>
    <t>ENVA</t>
  </si>
  <si>
    <t>ENVX</t>
  </si>
  <si>
    <t>EOLS</t>
  </si>
  <si>
    <t>EOSE</t>
  </si>
  <si>
    <t>EP</t>
  </si>
  <si>
    <t>EPAC</t>
  </si>
  <si>
    <t>EPC</t>
  </si>
  <si>
    <t>EPM</t>
  </si>
  <si>
    <t>EPRT</t>
  </si>
  <si>
    <t>EQBK</t>
  </si>
  <si>
    <t>EQC</t>
  </si>
  <si>
    <t>ERAS</t>
  </si>
  <si>
    <t>ERII</t>
  </si>
  <si>
    <t>ESCA</t>
  </si>
  <si>
    <t>ESE</t>
  </si>
  <si>
    <t>ESGR</t>
  </si>
  <si>
    <t>ESNT</t>
  </si>
  <si>
    <t>ESQ</t>
  </si>
  <si>
    <t>ESRT</t>
  </si>
  <si>
    <t>ESSA</t>
  </si>
  <si>
    <t>ETD</t>
  </si>
  <si>
    <t>ETNB</t>
  </si>
  <si>
    <t>ETRN</t>
  </si>
  <si>
    <t>ETWO</t>
  </si>
  <si>
    <t>EU</t>
  </si>
  <si>
    <t>EVA</t>
  </si>
  <si>
    <t>EVBG</t>
  </si>
  <si>
    <t>EVBN</t>
  </si>
  <si>
    <t>EVC</t>
  </si>
  <si>
    <t>EVCM</t>
  </si>
  <si>
    <t>EVER</t>
  </si>
  <si>
    <t>EVEX</t>
  </si>
  <si>
    <t>EVGO</t>
  </si>
  <si>
    <t>EVH</t>
  </si>
  <si>
    <t>EVI</t>
  </si>
  <si>
    <t>EVLV</t>
  </si>
  <si>
    <t>EVRI</t>
  </si>
  <si>
    <t>EVTC</t>
  </si>
  <si>
    <t>EWCZ</t>
  </si>
  <si>
    <t>EWTX</t>
  </si>
  <si>
    <t>EXFY</t>
  </si>
  <si>
    <t>EXLS</t>
  </si>
  <si>
    <t>EXPI</t>
  </si>
  <si>
    <t>EXPO</t>
  </si>
  <si>
    <t>EXTR</t>
  </si>
  <si>
    <t>EYE</t>
  </si>
  <si>
    <t>EYEN</t>
  </si>
  <si>
    <t>EYPT</t>
  </si>
  <si>
    <t>FA</t>
  </si>
  <si>
    <t>FARO</t>
  </si>
  <si>
    <t>FATE</t>
  </si>
  <si>
    <t>FBIZ</t>
  </si>
  <si>
    <t>FBK</t>
  </si>
  <si>
    <t>FBMS</t>
  </si>
  <si>
    <t>FBNC</t>
  </si>
  <si>
    <t>FBP</t>
  </si>
  <si>
    <t>FBRT</t>
  </si>
  <si>
    <t>FC</t>
  </si>
  <si>
    <t>FCBC</t>
  </si>
  <si>
    <t>FCCO</t>
  </si>
  <si>
    <t>FCEL</t>
  </si>
  <si>
    <t>FCF</t>
  </si>
  <si>
    <t>FCFS</t>
  </si>
  <si>
    <t>FCPT</t>
  </si>
  <si>
    <t>FDBC</t>
  </si>
  <si>
    <t>FDMT</t>
  </si>
  <si>
    <t>FDP</t>
  </si>
  <si>
    <t>FEAM</t>
  </si>
  <si>
    <t>FELE</t>
  </si>
  <si>
    <t>FENC</t>
  </si>
  <si>
    <t>FET</t>
  </si>
  <si>
    <t>FF</t>
  </si>
  <si>
    <t>FFBC</t>
  </si>
  <si>
    <t>FFIC</t>
  </si>
  <si>
    <t>FFIN</t>
  </si>
  <si>
    <t>FFWM</t>
  </si>
  <si>
    <t>FG</t>
  </si>
  <si>
    <t>FGEN</t>
  </si>
  <si>
    <t>FHTX</t>
  </si>
  <si>
    <t>FIBK</t>
  </si>
  <si>
    <t>FIGS</t>
  </si>
  <si>
    <t>FIHL</t>
  </si>
  <si>
    <t>FIP</t>
  </si>
  <si>
    <t>FISI</t>
  </si>
  <si>
    <t>FIX</t>
  </si>
  <si>
    <t>FIZZ</t>
  </si>
  <si>
    <t>FL</t>
  </si>
  <si>
    <t>FLGT</t>
  </si>
  <si>
    <t>FLIC</t>
  </si>
  <si>
    <t>FLL</t>
  </si>
  <si>
    <t>FLNC</t>
  </si>
  <si>
    <t>FLNG</t>
  </si>
  <si>
    <t>FLR</t>
  </si>
  <si>
    <t>FLWS</t>
  </si>
  <si>
    <t>FLYW</t>
  </si>
  <si>
    <t>FMAO</t>
  </si>
  <si>
    <t>FMBH</t>
  </si>
  <si>
    <t>FMNB</t>
  </si>
  <si>
    <t>FN</t>
  </si>
  <si>
    <t>FNA</t>
  </si>
  <si>
    <t>FNKO</t>
  </si>
  <si>
    <t>FNLC</t>
  </si>
  <si>
    <t>FOA</t>
  </si>
  <si>
    <t>FOLD</t>
  </si>
  <si>
    <t>FOR</t>
  </si>
  <si>
    <t>FORM</t>
  </si>
  <si>
    <t>FORR</t>
  </si>
  <si>
    <t>FOSL</t>
  </si>
  <si>
    <t>FOXF</t>
  </si>
  <si>
    <t>FPI</t>
  </si>
  <si>
    <t>FRBA</t>
  </si>
  <si>
    <t>FRGE</t>
  </si>
  <si>
    <t>FRME</t>
  </si>
  <si>
    <t>FRPH</t>
  </si>
  <si>
    <t>FRSH</t>
  </si>
  <si>
    <t>FRST</t>
  </si>
  <si>
    <t>FSBC</t>
  </si>
  <si>
    <t>FSBW</t>
  </si>
  <si>
    <t>FSLY</t>
  </si>
  <si>
    <t>FSR</t>
  </si>
  <si>
    <t>FSS</t>
  </si>
  <si>
    <t>FTAI</t>
  </si>
  <si>
    <t>FTCI</t>
  </si>
  <si>
    <t>FTDR</t>
  </si>
  <si>
    <t>FUBO</t>
  </si>
  <si>
    <t>FUL</t>
  </si>
  <si>
    <t>FULT</t>
  </si>
  <si>
    <t>FVCB</t>
  </si>
  <si>
    <t>FWRD</t>
  </si>
  <si>
    <t>FWRG</t>
  </si>
  <si>
    <t>GABC</t>
  </si>
  <si>
    <t>GAMB</t>
  </si>
  <si>
    <t>GATX</t>
  </si>
  <si>
    <t>GBCI</t>
  </si>
  <si>
    <t>GBIO</t>
  </si>
  <si>
    <t>GBTG</t>
  </si>
  <si>
    <t>GBX</t>
  </si>
  <si>
    <t>GCBC</t>
  </si>
  <si>
    <t>GCI</t>
  </si>
  <si>
    <t>GCMG</t>
  </si>
  <si>
    <t>GCO</t>
  </si>
  <si>
    <t>GDEN</t>
  </si>
  <si>
    <t>GDOT</t>
  </si>
  <si>
    <t>GDYN</t>
  </si>
  <si>
    <t>GEF</t>
  </si>
  <si>
    <t>GENC</t>
  </si>
  <si>
    <t>GEO</t>
  </si>
  <si>
    <t>GERN</t>
  </si>
  <si>
    <t>GES</t>
  </si>
  <si>
    <t>GEVO</t>
  </si>
  <si>
    <t>GFF</t>
  </si>
  <si>
    <t>GH</t>
  </si>
  <si>
    <t>GHC</t>
  </si>
  <si>
    <t>GIC</t>
  </si>
  <si>
    <t>GIII</t>
  </si>
  <si>
    <t>GKOS</t>
  </si>
  <si>
    <t>GLDD</t>
  </si>
  <si>
    <t>GLNG</t>
  </si>
  <si>
    <t>GLRE</t>
  </si>
  <si>
    <t>GLT</t>
  </si>
  <si>
    <t>GLUE</t>
  </si>
  <si>
    <t>GMRE</t>
  </si>
  <si>
    <t>GMS</t>
  </si>
  <si>
    <t>GNE</t>
  </si>
  <si>
    <t>GNK</t>
  </si>
  <si>
    <t>GNL</t>
  </si>
  <si>
    <t>GNLX</t>
  </si>
  <si>
    <t>GNTY</t>
  </si>
  <si>
    <t>GNW</t>
  </si>
  <si>
    <t>GOCO</t>
  </si>
  <si>
    <t>GOGL</t>
  </si>
  <si>
    <t>GOGO</t>
  </si>
  <si>
    <t>GOLF</t>
  </si>
  <si>
    <t>GOOD</t>
  </si>
  <si>
    <t>GORV</t>
  </si>
  <si>
    <t>GPI</t>
  </si>
  <si>
    <t>GPMT</t>
  </si>
  <si>
    <t>GPOR</t>
  </si>
  <si>
    <t>GPRE</t>
  </si>
  <si>
    <t>GPRO</t>
  </si>
  <si>
    <t>GRBK</t>
  </si>
  <si>
    <t>GRC</t>
  </si>
  <si>
    <t>GRND</t>
  </si>
  <si>
    <t>GRNT</t>
  </si>
  <si>
    <t>GRPH</t>
  </si>
  <si>
    <t>GRTS</t>
  </si>
  <si>
    <t>GRWG</t>
  </si>
  <si>
    <t>GSAT</t>
  </si>
  <si>
    <t>GSBC</t>
  </si>
  <si>
    <t>GSHD</t>
  </si>
  <si>
    <t>GT</t>
  </si>
  <si>
    <t>GTLS</t>
  </si>
  <si>
    <t>GTN</t>
  </si>
  <si>
    <t>GTY</t>
  </si>
  <si>
    <t>GVA</t>
  </si>
  <si>
    <t>GWH</t>
  </si>
  <si>
    <t>GWRS</t>
  </si>
  <si>
    <t>HA</t>
  </si>
  <si>
    <t>HAE</t>
  </si>
  <si>
    <t>HAFC</t>
  </si>
  <si>
    <t>HAIN</t>
  </si>
  <si>
    <t>HALO</t>
  </si>
  <si>
    <t>HASI</t>
  </si>
  <si>
    <t>HAYN</t>
  </si>
  <si>
    <t>HBCP</t>
  </si>
  <si>
    <t>HBI</t>
  </si>
  <si>
    <t>HBIO</t>
  </si>
  <si>
    <t>HBNC</t>
  </si>
  <si>
    <t>HBT</t>
  </si>
  <si>
    <t>HCAT</t>
  </si>
  <si>
    <t>HCC</t>
  </si>
  <si>
    <t>HCI</t>
  </si>
  <si>
    <t>HCKT</t>
  </si>
  <si>
    <t>HCSG</t>
  </si>
  <si>
    <t>HDSN</t>
  </si>
  <si>
    <t>HEAR</t>
  </si>
  <si>
    <t>HEES</t>
  </si>
  <si>
    <t>HELE</t>
  </si>
  <si>
    <t>HFFG</t>
  </si>
  <si>
    <t>HFWA</t>
  </si>
  <si>
    <t>HGV</t>
  </si>
  <si>
    <t>HI</t>
  </si>
  <si>
    <t>HIBB</t>
  </si>
  <si>
    <t>HIFS</t>
  </si>
  <si>
    <t>HIMS</t>
  </si>
  <si>
    <t>HIPO</t>
  </si>
  <si>
    <t>HL</t>
  </si>
  <si>
    <t>HLF</t>
  </si>
  <si>
    <t>HLIO</t>
  </si>
  <si>
    <t>HLIT</t>
  </si>
  <si>
    <t>HLLY</t>
  </si>
  <si>
    <t>HLMN</t>
  </si>
  <si>
    <t>HLNE</t>
  </si>
  <si>
    <t>HLVX</t>
  </si>
  <si>
    <t>HLX</t>
  </si>
  <si>
    <t>HMN</t>
  </si>
  <si>
    <t>HMST</t>
  </si>
  <si>
    <t>HNI</t>
  </si>
  <si>
    <t>HNRG</t>
  </si>
  <si>
    <t>HOFT</t>
  </si>
  <si>
    <t>HOMB</t>
  </si>
  <si>
    <t>HONE</t>
  </si>
  <si>
    <t>HOPE</t>
  </si>
  <si>
    <t>HOUS</t>
  </si>
  <si>
    <t>HOV</t>
  </si>
  <si>
    <t>HP</t>
  </si>
  <si>
    <t>HPK</t>
  </si>
  <si>
    <t>HPP</t>
  </si>
  <si>
    <t>HQI</t>
  </si>
  <si>
    <t>HQY</t>
  </si>
  <si>
    <t>HRI</t>
  </si>
  <si>
    <t>HRMY</t>
  </si>
  <si>
    <t>HROW</t>
  </si>
  <si>
    <t>HRT</t>
  </si>
  <si>
    <t>HRTX</t>
  </si>
  <si>
    <t>HSHP</t>
  </si>
  <si>
    <t>HSII</t>
  </si>
  <si>
    <t>HSTM</t>
  </si>
  <si>
    <t>HTBI</t>
  </si>
  <si>
    <t>HTBK</t>
  </si>
  <si>
    <t>HTH</t>
  </si>
  <si>
    <t>HTLD</t>
  </si>
  <si>
    <t>HTLF</t>
  </si>
  <si>
    <t>HUBG</t>
  </si>
  <si>
    <t>HUMA</t>
  </si>
  <si>
    <t>HURN</t>
  </si>
  <si>
    <t>HVT</t>
  </si>
  <si>
    <t>HWC</t>
  </si>
  <si>
    <t>HWKN</t>
  </si>
  <si>
    <t>HY</t>
  </si>
  <si>
    <t>HYLN</t>
  </si>
  <si>
    <t>HZO</t>
  </si>
  <si>
    <t>IAS</t>
  </si>
  <si>
    <t>IAUX</t>
  </si>
  <si>
    <t>IBCP</t>
  </si>
  <si>
    <t>IBEX</t>
  </si>
  <si>
    <t>IBOC</t>
  </si>
  <si>
    <t>IBP</t>
  </si>
  <si>
    <t>IBRX</t>
  </si>
  <si>
    <t>IBTX</t>
  </si>
  <si>
    <t>ICFI</t>
  </si>
  <si>
    <t>ICHR</t>
  </si>
  <si>
    <t>IDCC</t>
  </si>
  <si>
    <t>IDT</t>
  </si>
  <si>
    <t>IDYA</t>
  </si>
  <si>
    <t>IE</t>
  </si>
  <si>
    <t>IESC</t>
  </si>
  <si>
    <t>IGMS</t>
  </si>
  <si>
    <t>IGT</t>
  </si>
  <si>
    <t>IHRT</t>
  </si>
  <si>
    <t>III</t>
  </si>
  <si>
    <t>IIIN</t>
  </si>
  <si>
    <t>IIIV</t>
  </si>
  <si>
    <t>IIPR</t>
  </si>
  <si>
    <t>IKNA</t>
  </si>
  <si>
    <t>IMAX</t>
  </si>
  <si>
    <t>IMKTA</t>
  </si>
  <si>
    <t>IMMR</t>
  </si>
  <si>
    <t>IMRX</t>
  </si>
  <si>
    <t>IMVT</t>
  </si>
  <si>
    <t>IMXI</t>
  </si>
  <si>
    <t>INBX</t>
  </si>
  <si>
    <t>INDB</t>
  </si>
  <si>
    <t>INDI</t>
  </si>
  <si>
    <t>INFN</t>
  </si>
  <si>
    <t>INFU</t>
  </si>
  <si>
    <t>INGN</t>
  </si>
  <si>
    <t>INMD</t>
  </si>
  <si>
    <t>INN</t>
  </si>
  <si>
    <t>INNV</t>
  </si>
  <si>
    <t>INOD</t>
  </si>
  <si>
    <t>INSE</t>
  </si>
  <si>
    <t>INSM</t>
  </si>
  <si>
    <t>INST</t>
  </si>
  <si>
    <t>INSW</t>
  </si>
  <si>
    <t>INTA</t>
  </si>
  <si>
    <t>INTT</t>
  </si>
  <si>
    <t>INVA</t>
  </si>
  <si>
    <t>INZY</t>
  </si>
  <si>
    <t>IONQ</t>
  </si>
  <si>
    <t>IOSP</t>
  </si>
  <si>
    <t>IOVA</t>
  </si>
  <si>
    <t>IPAR</t>
  </si>
  <si>
    <t>IPI</t>
  </si>
  <si>
    <t>IPSC</t>
  </si>
  <si>
    <t>IRBT</t>
  </si>
  <si>
    <t>IRMD</t>
  </si>
  <si>
    <t>IRON</t>
  </si>
  <si>
    <t>IRT</t>
  </si>
  <si>
    <t>IRTC</t>
  </si>
  <si>
    <t>IRWD</t>
  </si>
  <si>
    <t>ISPR</t>
  </si>
  <si>
    <t>ITCI</t>
  </si>
  <si>
    <t>ITGR</t>
  </si>
  <si>
    <t>ITI</t>
  </si>
  <si>
    <t>ITIC</t>
  </si>
  <si>
    <t>ITOS</t>
  </si>
  <si>
    <t>ITRI</t>
  </si>
  <si>
    <t>IVAC</t>
  </si>
  <si>
    <t>IVR</t>
  </si>
  <si>
    <t>IVT</t>
  </si>
  <si>
    <t>JACK</t>
  </si>
  <si>
    <t>JAKK</t>
  </si>
  <si>
    <t>JAMF</t>
  </si>
  <si>
    <t>JANX</t>
  </si>
  <si>
    <t>JBGS</t>
  </si>
  <si>
    <t>JBI</t>
  </si>
  <si>
    <t>JBLU</t>
  </si>
  <si>
    <t>JBSS</t>
  </si>
  <si>
    <t>JBT</t>
  </si>
  <si>
    <t>JELD</t>
  </si>
  <si>
    <t>JILL</t>
  </si>
  <si>
    <t>JJSF</t>
  </si>
  <si>
    <t>JMSB</t>
  </si>
  <si>
    <t>JOBY</t>
  </si>
  <si>
    <t>JOE</t>
  </si>
  <si>
    <t>JOUT</t>
  </si>
  <si>
    <t>JRVR</t>
  </si>
  <si>
    <t>JXN</t>
  </si>
  <si>
    <t>JYNT</t>
  </si>
  <si>
    <t>KAI</t>
  </si>
  <si>
    <t>KALU</t>
  </si>
  <si>
    <t>KALV</t>
  </si>
  <si>
    <t>KAMN</t>
  </si>
  <si>
    <t>KAR</t>
  </si>
  <si>
    <t>KBH</t>
  </si>
  <si>
    <t>KE</t>
  </si>
  <si>
    <t>KELYA</t>
  </si>
  <si>
    <t>KFRC</t>
  </si>
  <si>
    <t>KFS</t>
  </si>
  <si>
    <t>KFY</t>
  </si>
  <si>
    <t>KGS</t>
  </si>
  <si>
    <t>KIDS</t>
  </si>
  <si>
    <t>KIND</t>
  </si>
  <si>
    <t>KLIC</t>
  </si>
  <si>
    <t>KLTR</t>
  </si>
  <si>
    <t>KLXE</t>
  </si>
  <si>
    <t>KMT</t>
  </si>
  <si>
    <t>KN</t>
  </si>
  <si>
    <t>KNF</t>
  </si>
  <si>
    <t>KNSA</t>
  </si>
  <si>
    <t>KNTK</t>
  </si>
  <si>
    <t>KOD</t>
  </si>
  <si>
    <t>KODK</t>
  </si>
  <si>
    <t>KOP</t>
  </si>
  <si>
    <t>KOS</t>
  </si>
  <si>
    <t>KPTI</t>
  </si>
  <si>
    <t>KREF</t>
  </si>
  <si>
    <t>KRG</t>
  </si>
  <si>
    <t>KRMD</t>
  </si>
  <si>
    <t>KRNY</t>
  </si>
  <si>
    <t>KRO</t>
  </si>
  <si>
    <t>KROS</t>
  </si>
  <si>
    <t>KRT</t>
  </si>
  <si>
    <t>KRUS</t>
  </si>
  <si>
    <t>KRYS</t>
  </si>
  <si>
    <t>KTB</t>
  </si>
  <si>
    <t>KTOS</t>
  </si>
  <si>
    <t>KURA</t>
  </si>
  <si>
    <t>KVHI</t>
  </si>
  <si>
    <t>KW</t>
  </si>
  <si>
    <t>KWR</t>
  </si>
  <si>
    <t>KYMR</t>
  </si>
  <si>
    <t>KZR</t>
  </si>
  <si>
    <t>LADR</t>
  </si>
  <si>
    <t>LANC</t>
  </si>
  <si>
    <t>LAND</t>
  </si>
  <si>
    <t>LASR</t>
  </si>
  <si>
    <t>LAUR</t>
  </si>
  <si>
    <t>LAW</t>
  </si>
  <si>
    <t>LAZR</t>
  </si>
  <si>
    <t>LBAI</t>
  </si>
  <si>
    <t>LBC</t>
  </si>
  <si>
    <t>LBPH</t>
  </si>
  <si>
    <t>LBRT</t>
  </si>
  <si>
    <t>LC</t>
  </si>
  <si>
    <t>LCII</t>
  </si>
  <si>
    <t>LCNB</t>
  </si>
  <si>
    <t>LCTX</t>
  </si>
  <si>
    <t>LE</t>
  </si>
  <si>
    <t>LEGH</t>
  </si>
  <si>
    <t>LESL</t>
  </si>
  <si>
    <t>LEU</t>
  </si>
  <si>
    <t>LFST</t>
  </si>
  <si>
    <t>LGIH</t>
  </si>
  <si>
    <t>LGND</t>
  </si>
  <si>
    <t>LICY</t>
  </si>
  <si>
    <t>LILA</t>
  </si>
  <si>
    <t>LILAK</t>
  </si>
  <si>
    <t>LINC</t>
  </si>
  <si>
    <t>LIND</t>
  </si>
  <si>
    <t>LIVN</t>
  </si>
  <si>
    <t>LKFN</t>
  </si>
  <si>
    <t>LLAP</t>
  </si>
  <si>
    <t>LMAT</t>
  </si>
  <si>
    <t>LMB</t>
  </si>
  <si>
    <t>LMND</t>
  </si>
  <si>
    <t>LMNR</t>
  </si>
  <si>
    <t>LNN</t>
  </si>
  <si>
    <t>LNTH</t>
  </si>
  <si>
    <t>LNW</t>
  </si>
  <si>
    <t>LNZA</t>
  </si>
  <si>
    <t>LOB</t>
  </si>
  <si>
    <t>LOCO</t>
  </si>
  <si>
    <t>LOVE</t>
  </si>
  <si>
    <t>LPG</t>
  </si>
  <si>
    <t>LPRO</t>
  </si>
  <si>
    <t>LPSN</t>
  </si>
  <si>
    <t>LPTV</t>
  </si>
  <si>
    <t>LQDA</t>
  </si>
  <si>
    <t>LQDT</t>
  </si>
  <si>
    <t>LRMR</t>
  </si>
  <si>
    <t>LRN</t>
  </si>
  <si>
    <t>LSEA</t>
  </si>
  <si>
    <t>LTC</t>
  </si>
  <si>
    <t>LTH</t>
  </si>
  <si>
    <t>LUMN</t>
  </si>
  <si>
    <t>LUNA</t>
  </si>
  <si>
    <t>LUNG</t>
  </si>
  <si>
    <t>LVWR</t>
  </si>
  <si>
    <t>LWLG</t>
  </si>
  <si>
    <t>LXFR</t>
  </si>
  <si>
    <t>LXP</t>
  </si>
  <si>
    <t>LXRX</t>
  </si>
  <si>
    <t>LXU</t>
  </si>
  <si>
    <t>LYEL</t>
  </si>
  <si>
    <t>LYTS</t>
  </si>
  <si>
    <t>LZ</t>
  </si>
  <si>
    <t>LZB</t>
  </si>
  <si>
    <t>MAC</t>
  </si>
  <si>
    <t>MACK</t>
  </si>
  <si>
    <t>MARA</t>
  </si>
  <si>
    <t>MASS</t>
  </si>
  <si>
    <t>MATV</t>
  </si>
  <si>
    <t>MATW</t>
  </si>
  <si>
    <t>MATX</t>
  </si>
  <si>
    <t>MAX</t>
  </si>
  <si>
    <t>MAXN</t>
  </si>
  <si>
    <t>MBC</t>
  </si>
  <si>
    <t>MBCN</t>
  </si>
  <si>
    <t>MBI</t>
  </si>
  <si>
    <t>MBIN</t>
  </si>
  <si>
    <t>MBUU</t>
  </si>
  <si>
    <t>MBWM</t>
  </si>
  <si>
    <t>MC</t>
  </si>
  <si>
    <t>MCB</t>
  </si>
  <si>
    <t>MCBC</t>
  </si>
  <si>
    <t>MCBS</t>
  </si>
  <si>
    <t>MCFT</t>
  </si>
  <si>
    <t>MCRB</t>
  </si>
  <si>
    <t>MCRI</t>
  </si>
  <si>
    <t>MCS</t>
  </si>
  <si>
    <t>MCY</t>
  </si>
  <si>
    <t>MD</t>
  </si>
  <si>
    <t>MDC</t>
  </si>
  <si>
    <t>MDGL</t>
  </si>
  <si>
    <t>MDRX</t>
  </si>
  <si>
    <t>MDXG</t>
  </si>
  <si>
    <t>ME</t>
  </si>
  <si>
    <t>MEC</t>
  </si>
  <si>
    <t>MED</t>
  </si>
  <si>
    <t>MEG</t>
  </si>
  <si>
    <t>MEI</t>
  </si>
  <si>
    <t>METCB</t>
  </si>
  <si>
    <t>MFA</t>
  </si>
  <si>
    <t>MG</t>
  </si>
  <si>
    <t>MGEE</t>
  </si>
  <si>
    <t>MGNI</t>
  </si>
  <si>
    <t>MGNX</t>
  </si>
  <si>
    <t>MGPI</t>
  </si>
  <si>
    <t>MGRC</t>
  </si>
  <si>
    <t>MGTX</t>
  </si>
  <si>
    <t>MGY</t>
  </si>
  <si>
    <t>MHLD</t>
  </si>
  <si>
    <t>MHO</t>
  </si>
  <si>
    <t>MIR</t>
  </si>
  <si>
    <t>MIRM</t>
  </si>
  <si>
    <t>MITK</t>
  </si>
  <si>
    <t>MKTW</t>
  </si>
  <si>
    <t>MLAB</t>
  </si>
  <si>
    <t>MLI</t>
  </si>
  <si>
    <t>MLKN</t>
  </si>
  <si>
    <t>MLNK</t>
  </si>
  <si>
    <t>MLP</t>
  </si>
  <si>
    <t>MLR</t>
  </si>
  <si>
    <t>MLYS</t>
  </si>
  <si>
    <t>MMI</t>
  </si>
  <si>
    <t>MMS</t>
  </si>
  <si>
    <t>MMSI</t>
  </si>
  <si>
    <t>MNKD</t>
  </si>
  <si>
    <t>MNRO</t>
  </si>
  <si>
    <t>MNSB</t>
  </si>
  <si>
    <t>MNTK</t>
  </si>
  <si>
    <t>MOD</t>
  </si>
  <si>
    <t>MODG</t>
  </si>
  <si>
    <t>MODN</t>
  </si>
  <si>
    <t>MODV</t>
  </si>
  <si>
    <t>MOFG</t>
  </si>
  <si>
    <t>MOND</t>
  </si>
  <si>
    <t>MORF</t>
  </si>
  <si>
    <t>MOV</t>
  </si>
  <si>
    <t>MPB</t>
  </si>
  <si>
    <t>MPLN</t>
  </si>
  <si>
    <t>MPX</t>
  </si>
  <si>
    <t>MQ</t>
  </si>
  <si>
    <t>MRC</t>
  </si>
  <si>
    <t>MRNS</t>
  </si>
  <si>
    <t>MRSN</t>
  </si>
  <si>
    <t>MRTN</t>
  </si>
  <si>
    <t>MSBI</t>
  </si>
  <si>
    <t>MSEX</t>
  </si>
  <si>
    <t>MSGE</t>
  </si>
  <si>
    <t>MSTR</t>
  </si>
  <si>
    <t>MTDR</t>
  </si>
  <si>
    <t>MTH</t>
  </si>
  <si>
    <t>MTRN</t>
  </si>
  <si>
    <t>MTSI</t>
  </si>
  <si>
    <t>MTTR</t>
  </si>
  <si>
    <t>MTW</t>
  </si>
  <si>
    <t>MTX</t>
  </si>
  <si>
    <t>MUR</t>
  </si>
  <si>
    <t>MURA</t>
  </si>
  <si>
    <t>MVBF</t>
  </si>
  <si>
    <t>MVIS</t>
  </si>
  <si>
    <t>MVST</t>
  </si>
  <si>
    <t>MWA</t>
  </si>
  <si>
    <t>MXCT</t>
  </si>
  <si>
    <t>MXL</t>
  </si>
  <si>
    <t>MYE</t>
  </si>
  <si>
    <t>MYFW</t>
  </si>
  <si>
    <t>MYGN</t>
  </si>
  <si>
    <t>MYPS</t>
  </si>
  <si>
    <t>MYRG</t>
  </si>
  <si>
    <t>NABL</t>
  </si>
  <si>
    <t>NAPA</t>
  </si>
  <si>
    <t>NARI</t>
  </si>
  <si>
    <t>NAT</t>
  </si>
  <si>
    <t>NATH</t>
  </si>
  <si>
    <t>NATR</t>
  </si>
  <si>
    <t>NAUT</t>
  </si>
  <si>
    <t>NAVI</t>
  </si>
  <si>
    <t>NBHC</t>
  </si>
  <si>
    <t>NBN</t>
  </si>
  <si>
    <t>NBR</t>
  </si>
  <si>
    <t>NBTB</t>
  </si>
  <si>
    <t>NC</t>
  </si>
  <si>
    <t>NDLS</t>
  </si>
  <si>
    <t>NE</t>
  </si>
  <si>
    <t>NECB</t>
  </si>
  <si>
    <t>NEO</t>
  </si>
  <si>
    <t>NEOG</t>
  </si>
  <si>
    <t>NEWT</t>
  </si>
  <si>
    <t>NEXT</t>
  </si>
  <si>
    <t>NFBK</t>
  </si>
  <si>
    <t>NG</t>
  </si>
  <si>
    <t>NGM</t>
  </si>
  <si>
    <t>NGVC</t>
  </si>
  <si>
    <t>NGVT</t>
  </si>
  <si>
    <t>NHC</t>
  </si>
  <si>
    <t>NHI</t>
  </si>
  <si>
    <t>NIC</t>
  </si>
  <si>
    <t>NJR</t>
  </si>
  <si>
    <t>NKLA</t>
  </si>
  <si>
    <t>NKSH</t>
  </si>
  <si>
    <t>NKTX</t>
  </si>
  <si>
    <t>NL</t>
  </si>
  <si>
    <t>NMIH</t>
  </si>
  <si>
    <t>NMRA</t>
  </si>
  <si>
    <t>NMRK</t>
  </si>
  <si>
    <t>NN</t>
  </si>
  <si>
    <t>NNI</t>
  </si>
  <si>
    <t>NNOX</t>
  </si>
  <si>
    <t>NODK</t>
  </si>
  <si>
    <t>NOG</t>
  </si>
  <si>
    <t>NOTE</t>
  </si>
  <si>
    <t>NOVA</t>
  </si>
  <si>
    <t>NOVT</t>
  </si>
  <si>
    <t>NPK</t>
  </si>
  <si>
    <t>NPO</t>
  </si>
  <si>
    <t>NR</t>
  </si>
  <si>
    <t>NRC</t>
  </si>
  <si>
    <t>NRDS</t>
  </si>
  <si>
    <t>NRDY</t>
  </si>
  <si>
    <t>NREF</t>
  </si>
  <si>
    <t>NRGV</t>
  </si>
  <si>
    <t>NRIM</t>
  </si>
  <si>
    <t>NRIX</t>
  </si>
  <si>
    <t>NSIT</t>
  </si>
  <si>
    <t>NSP</t>
  </si>
  <si>
    <t>NSSC</t>
  </si>
  <si>
    <t>NTB</t>
  </si>
  <si>
    <t>NTCT</t>
  </si>
  <si>
    <t>NTGR</t>
  </si>
  <si>
    <t>NTLA</t>
  </si>
  <si>
    <t>NTST</t>
  </si>
  <si>
    <t>NUS</t>
  </si>
  <si>
    <t>NUVB</t>
  </si>
  <si>
    <t>NUVL</t>
  </si>
  <si>
    <t>NVAX</t>
  </si>
  <si>
    <t>NVCT</t>
  </si>
  <si>
    <t>NVEC</t>
  </si>
  <si>
    <t>NVEE</t>
  </si>
  <si>
    <t>NVRI</t>
  </si>
  <si>
    <t>NVRO</t>
  </si>
  <si>
    <t>NVTS</t>
  </si>
  <si>
    <t>NWBI</t>
  </si>
  <si>
    <t>NWE</t>
  </si>
  <si>
    <t>NWFL</t>
  </si>
  <si>
    <t>NWLI</t>
  </si>
  <si>
    <t>NWN</t>
  </si>
  <si>
    <t>NWPX</t>
  </si>
  <si>
    <t>NX</t>
  </si>
  <si>
    <t>NXDT</t>
  </si>
  <si>
    <t>NXRT</t>
  </si>
  <si>
    <t>NXT</t>
  </si>
  <si>
    <t>NYMT</t>
  </si>
  <si>
    <t>OABI</t>
  </si>
  <si>
    <t>OB</t>
  </si>
  <si>
    <t>OBIO</t>
  </si>
  <si>
    <t>OBK</t>
  </si>
  <si>
    <t>OBT</t>
  </si>
  <si>
    <t>OCFC</t>
  </si>
  <si>
    <t>OCN</t>
  </si>
  <si>
    <t>OCUL</t>
  </si>
  <si>
    <t>ODC</t>
  </si>
  <si>
    <t>ODP</t>
  </si>
  <si>
    <t>OEC</t>
  </si>
  <si>
    <t>OFG</t>
  </si>
  <si>
    <t>OFIX</t>
  </si>
  <si>
    <t>OFLX</t>
  </si>
  <si>
    <t>OGS</t>
  </si>
  <si>
    <t>OI</t>
  </si>
  <si>
    <t>OII</t>
  </si>
  <si>
    <t>OIS</t>
  </si>
  <si>
    <t>OLMA</t>
  </si>
  <si>
    <t>OLO</t>
  </si>
  <si>
    <t>OLP</t>
  </si>
  <si>
    <t>OM</t>
  </si>
  <si>
    <t>OMCL</t>
  </si>
  <si>
    <t>OMER</t>
  </si>
  <si>
    <t>OMGA</t>
  </si>
  <si>
    <t>OMI</t>
  </si>
  <si>
    <t>ONB</t>
  </si>
  <si>
    <t>ONEW</t>
  </si>
  <si>
    <t>ONL</t>
  </si>
  <si>
    <t>ONTF</t>
  </si>
  <si>
    <t>ONTO</t>
  </si>
  <si>
    <t>OOMA</t>
  </si>
  <si>
    <t>OPCH</t>
  </si>
  <si>
    <t>OPEN</t>
  </si>
  <si>
    <t>OPFI</t>
  </si>
  <si>
    <t>OPI</t>
  </si>
  <si>
    <t>OPK</t>
  </si>
  <si>
    <t>OPRX</t>
  </si>
  <si>
    <t>OPTN</t>
  </si>
  <si>
    <t>ORA</t>
  </si>
  <si>
    <t>ORC</t>
  </si>
  <si>
    <t>ORGN</t>
  </si>
  <si>
    <t>ORGO</t>
  </si>
  <si>
    <t>ORIC</t>
  </si>
  <si>
    <t>ORRF</t>
  </si>
  <si>
    <t>OSBC</t>
  </si>
  <si>
    <t>OSCR</t>
  </si>
  <si>
    <t>OSG</t>
  </si>
  <si>
    <t>OSIS</t>
  </si>
  <si>
    <t>OSPN</t>
  </si>
  <si>
    <t>OSUR</t>
  </si>
  <si>
    <t>OSW</t>
  </si>
  <si>
    <t>OTLK</t>
  </si>
  <si>
    <t>OTTR</t>
  </si>
  <si>
    <t>OUT</t>
  </si>
  <si>
    <t>OVID</t>
  </si>
  <si>
    <t>OVLY</t>
  </si>
  <si>
    <t>OXM</t>
  </si>
  <si>
    <t>PACB</t>
  </si>
  <si>
    <t>PACK</t>
  </si>
  <si>
    <t>PAGS</t>
  </si>
  <si>
    <t>PAHC</t>
  </si>
  <si>
    <t>PANL</t>
  </si>
  <si>
    <t>PAR</t>
  </si>
  <si>
    <t>PARR</t>
  </si>
  <si>
    <t>PATK</t>
  </si>
  <si>
    <t>PAX</t>
  </si>
  <si>
    <t>PAYO</t>
  </si>
  <si>
    <t>PAYS</t>
  </si>
  <si>
    <t>PBF</t>
  </si>
  <si>
    <t>PBFS</t>
  </si>
  <si>
    <t>PBH</t>
  </si>
  <si>
    <t>PBI</t>
  </si>
  <si>
    <t>PBPB</t>
  </si>
  <si>
    <t>PCB</t>
  </si>
  <si>
    <t>PCH</t>
  </si>
  <si>
    <t>PCRX</t>
  </si>
  <si>
    <t>PCT</t>
  </si>
  <si>
    <t>PCVX</t>
  </si>
  <si>
    <t>PCYO</t>
  </si>
  <si>
    <t>PD</t>
  </si>
  <si>
    <t>PDCO</t>
  </si>
  <si>
    <t>PDFS</t>
  </si>
  <si>
    <t>PDLB</t>
  </si>
  <si>
    <t>PDLI</t>
  </si>
  <si>
    <t>PDM</t>
  </si>
  <si>
    <t>PDSB</t>
  </si>
  <si>
    <t>PEB</t>
  </si>
  <si>
    <t>PEBO</t>
  </si>
  <si>
    <t>PECO</t>
  </si>
  <si>
    <t>PEPG</t>
  </si>
  <si>
    <t>PETQ</t>
  </si>
  <si>
    <t>PETS</t>
  </si>
  <si>
    <t>PFBC</t>
  </si>
  <si>
    <t>PFC</t>
  </si>
  <si>
    <t>PFIS</t>
  </si>
  <si>
    <t>PFMT</t>
  </si>
  <si>
    <t>PFS</t>
  </si>
  <si>
    <t>PFSI</t>
  </si>
  <si>
    <t>PGC</t>
  </si>
  <si>
    <t>PGEN</t>
  </si>
  <si>
    <t>PGNY</t>
  </si>
  <si>
    <t>PGRE</t>
  </si>
  <si>
    <t>PGTI</t>
  </si>
  <si>
    <t>PHAT</t>
  </si>
  <si>
    <t>PHR</t>
  </si>
  <si>
    <t>PI</t>
  </si>
  <si>
    <t>PIII</t>
  </si>
  <si>
    <t>PINE</t>
  </si>
  <si>
    <t>PIPR</t>
  </si>
  <si>
    <t>PJT</t>
  </si>
  <si>
    <t>PKBK</t>
  </si>
  <si>
    <t>PKE</t>
  </si>
  <si>
    <t>PKOH</t>
  </si>
  <si>
    <t>PKST</t>
  </si>
  <si>
    <t>PL</t>
  </si>
  <si>
    <t>PLAB</t>
  </si>
  <si>
    <t>PLAY</t>
  </si>
  <si>
    <t>PLBC</t>
  </si>
  <si>
    <t>PLCE</t>
  </si>
  <si>
    <t>PLL</t>
  </si>
  <si>
    <t>PLMR</t>
  </si>
  <si>
    <t>PLOW</t>
  </si>
  <si>
    <t>PLPC</t>
  </si>
  <si>
    <t>PLRX</t>
  </si>
  <si>
    <t>PLSE</t>
  </si>
  <si>
    <t>PLUS</t>
  </si>
  <si>
    <t>PLX</t>
  </si>
  <si>
    <t>PLXS</t>
  </si>
  <si>
    <t>PLYM</t>
  </si>
  <si>
    <t>PMT</t>
  </si>
  <si>
    <t>PMTS</t>
  </si>
  <si>
    <t>PMVP</t>
  </si>
  <si>
    <t>PNM</t>
  </si>
  <si>
    <t>PNRG</t>
  </si>
  <si>
    <t>PNTG</t>
  </si>
  <si>
    <t>POR</t>
  </si>
  <si>
    <t>POWI</t>
  </si>
  <si>
    <t>POWL</t>
  </si>
  <si>
    <t>POWW</t>
  </si>
  <si>
    <t>PPBI</t>
  </si>
  <si>
    <t>PPTA</t>
  </si>
  <si>
    <t>PR</t>
  </si>
  <si>
    <t>PRA</t>
  </si>
  <si>
    <t>PRAA</t>
  </si>
  <si>
    <t>PRCT</t>
  </si>
  <si>
    <t>PRDO</t>
  </si>
  <si>
    <t>PRFT</t>
  </si>
  <si>
    <t>PRG</t>
  </si>
  <si>
    <t>PRGS</t>
  </si>
  <si>
    <t>PRIM</t>
  </si>
  <si>
    <t>PRK</t>
  </si>
  <si>
    <t>PRKS</t>
  </si>
  <si>
    <t>PRLB</t>
  </si>
  <si>
    <t>PRLD</t>
  </si>
  <si>
    <t>PRM</t>
  </si>
  <si>
    <t>PRME</t>
  </si>
  <si>
    <t>PRMW</t>
  </si>
  <si>
    <t>PRO</t>
  </si>
  <si>
    <t>PROK</t>
  </si>
  <si>
    <t>PRPL</t>
  </si>
  <si>
    <t>PRST</t>
  </si>
  <si>
    <t>PRTA</t>
  </si>
  <si>
    <t>PRTH</t>
  </si>
  <si>
    <t>PRTS</t>
  </si>
  <si>
    <t>PRVA</t>
  </si>
  <si>
    <t>PSFE</t>
  </si>
  <si>
    <t>PSMT</t>
  </si>
  <si>
    <t>PSN</t>
  </si>
  <si>
    <t>PSTL</t>
  </si>
  <si>
    <t>PSTX</t>
  </si>
  <si>
    <t>PTCT</t>
  </si>
  <si>
    <t>PTEN</t>
  </si>
  <si>
    <t>PTGX</t>
  </si>
  <si>
    <t>PTLO</t>
  </si>
  <si>
    <t>PTSI</t>
  </si>
  <si>
    <t>PTVE</t>
  </si>
  <si>
    <t>PUBM</t>
  </si>
  <si>
    <t>PUMP</t>
  </si>
  <si>
    <t>PWOD</t>
  </si>
  <si>
    <t>PWP</t>
  </si>
  <si>
    <t>PWSC</t>
  </si>
  <si>
    <t>PX</t>
  </si>
  <si>
    <t>PZZA</t>
  </si>
  <si>
    <t>QCRH</t>
  </si>
  <si>
    <t>QIPT</t>
  </si>
  <si>
    <t>QLYS</t>
  </si>
  <si>
    <t>QNST</t>
  </si>
  <si>
    <t>QSI</t>
  </si>
  <si>
    <t>QTRX</t>
  </si>
  <si>
    <t>QTWO</t>
  </si>
  <si>
    <t>QUAD</t>
  </si>
  <si>
    <t>RAMP</t>
  </si>
  <si>
    <t>RAPT</t>
  </si>
  <si>
    <t>RBB</t>
  </si>
  <si>
    <t>RBBN</t>
  </si>
  <si>
    <t>RBCAA</t>
  </si>
  <si>
    <t>RBOT</t>
  </si>
  <si>
    <t>RC</t>
  </si>
  <si>
    <t>RCEL</t>
  </si>
  <si>
    <t>RCKT</t>
  </si>
  <si>
    <t>RCKY</t>
  </si>
  <si>
    <t>RCUS</t>
  </si>
  <si>
    <t>RDFN</t>
  </si>
  <si>
    <t>RDN</t>
  </si>
  <si>
    <t>RDNT</t>
  </si>
  <si>
    <t>RDUS</t>
  </si>
  <si>
    <t>RDVT</t>
  </si>
  <si>
    <t>RDW</t>
  </si>
  <si>
    <t>REFI</t>
  </si>
  <si>
    <t>REI</t>
  </si>
  <si>
    <t>RELL</t>
  </si>
  <si>
    <t>RELY</t>
  </si>
  <si>
    <t>RENT</t>
  </si>
  <si>
    <t>REPL</t>
  </si>
  <si>
    <t>REPX</t>
  </si>
  <si>
    <t>RES</t>
  </si>
  <si>
    <t>REVG</t>
  </si>
  <si>
    <t>REX</t>
  </si>
  <si>
    <t>REZI</t>
  </si>
  <si>
    <t>RGCO</t>
  </si>
  <si>
    <t>RGNX</t>
  </si>
  <si>
    <t>RGP</t>
  </si>
  <si>
    <t>RGR</t>
  </si>
  <si>
    <t>RHP</t>
  </si>
  <si>
    <t>RICK</t>
  </si>
  <si>
    <t>RIGL</t>
  </si>
  <si>
    <t>RILY</t>
  </si>
  <si>
    <t>RIOT</t>
  </si>
  <si>
    <t>RKLB</t>
  </si>
  <si>
    <t>RLAY</t>
  </si>
  <si>
    <t>RLGT</t>
  </si>
  <si>
    <t>RLJ</t>
  </si>
  <si>
    <t>RLYB</t>
  </si>
  <si>
    <t>RM</t>
  </si>
  <si>
    <t>RMAX</t>
  </si>
  <si>
    <t>RMBS</t>
  </si>
  <si>
    <t>RMNI</t>
  </si>
  <si>
    <t>RMR</t>
  </si>
  <si>
    <t>RNA</t>
  </si>
  <si>
    <t>RNAC</t>
  </si>
  <si>
    <t>RNGR</t>
  </si>
  <si>
    <t>RNST</t>
  </si>
  <si>
    <t>ROAD</t>
  </si>
  <si>
    <t>ROCK</t>
  </si>
  <si>
    <t>ROG</t>
  </si>
  <si>
    <t>ROIC</t>
  </si>
  <si>
    <t>ROVR</t>
  </si>
  <si>
    <t>RPAY</t>
  </si>
  <si>
    <t>RPD</t>
  </si>
  <si>
    <t>RPHM</t>
  </si>
  <si>
    <t>RRBI</t>
  </si>
  <si>
    <t>RRGB</t>
  </si>
  <si>
    <t>RRR</t>
  </si>
  <si>
    <t>RSI</t>
  </si>
  <si>
    <t>RSVR</t>
  </si>
  <si>
    <t>RUSHA</t>
  </si>
  <si>
    <t>RUSHB</t>
  </si>
  <si>
    <t>RVLV</t>
  </si>
  <si>
    <t>RVMD</t>
  </si>
  <si>
    <t>RVNC</t>
  </si>
  <si>
    <t>RWT</t>
  </si>
  <si>
    <t>RXO</t>
  </si>
  <si>
    <t>RXRX</t>
  </si>
  <si>
    <t>RXST</t>
  </si>
  <si>
    <t>RXT</t>
  </si>
  <si>
    <t>RYAM</t>
  </si>
  <si>
    <t>RYI</t>
  </si>
  <si>
    <t>RYTM</t>
  </si>
  <si>
    <t>RYZB</t>
  </si>
  <si>
    <t>SABR</t>
  </si>
  <si>
    <t>SAFE</t>
  </si>
  <si>
    <t>SAFT</t>
  </si>
  <si>
    <t>SAGE</t>
  </si>
  <si>
    <t>SAH</t>
  </si>
  <si>
    <t>SAMG</t>
  </si>
  <si>
    <t>SANA</t>
  </si>
  <si>
    <t>SANM</t>
  </si>
  <si>
    <t>SASR</t>
  </si>
  <si>
    <t>SATS</t>
  </si>
  <si>
    <t>SAVA</t>
  </si>
  <si>
    <t>SAVE</t>
  </si>
  <si>
    <t>SB</t>
  </si>
  <si>
    <t>SBCF</t>
  </si>
  <si>
    <t>SBGI</t>
  </si>
  <si>
    <t>SBH</t>
  </si>
  <si>
    <t>SBOW</t>
  </si>
  <si>
    <t>SBRA</t>
  </si>
  <si>
    <t>SBSI</t>
  </si>
  <si>
    <t>SBT</t>
  </si>
  <si>
    <t>SCHL</t>
  </si>
  <si>
    <t>SCL</t>
  </si>
  <si>
    <t>SCLX</t>
  </si>
  <si>
    <t>SCPH</t>
  </si>
  <si>
    <t>SCS</t>
  </si>
  <si>
    <t>SCSC</t>
  </si>
  <si>
    <t>SCVL</t>
  </si>
  <si>
    <t>SCWO</t>
  </si>
  <si>
    <t>SD</t>
  </si>
  <si>
    <t>SDGR</t>
  </si>
  <si>
    <t>SDRL</t>
  </si>
  <si>
    <t>SEAT</t>
  </si>
  <si>
    <t>SEER</t>
  </si>
  <si>
    <t>SEM</t>
  </si>
  <si>
    <t>SEMR</t>
  </si>
  <si>
    <t>SENEA</t>
  </si>
  <si>
    <t>SES</t>
  </si>
  <si>
    <t>SFBS</t>
  </si>
  <si>
    <t>SFIX</t>
  </si>
  <si>
    <t>SFL</t>
  </si>
  <si>
    <t>SFM</t>
  </si>
  <si>
    <t>SFNC</t>
  </si>
  <si>
    <t>SFST</t>
  </si>
  <si>
    <t>SG</t>
  </si>
  <si>
    <t>SGH</t>
  </si>
  <si>
    <t>SGHC</t>
  </si>
  <si>
    <t>SGHT</t>
  </si>
  <si>
    <t>SGMO</t>
  </si>
  <si>
    <t>SGMT</t>
  </si>
  <si>
    <t>SGRY</t>
  </si>
  <si>
    <t>SHAK</t>
  </si>
  <si>
    <t>SHBI</t>
  </si>
  <si>
    <t>SHCR</t>
  </si>
  <si>
    <t>SHEN</t>
  </si>
  <si>
    <t>SHLS</t>
  </si>
  <si>
    <t>SHO</t>
  </si>
  <si>
    <t>SHOO</t>
  </si>
  <si>
    <t>SHYF</t>
  </si>
  <si>
    <t>SIBN</t>
  </si>
  <si>
    <t>SIG</t>
  </si>
  <si>
    <t>SIGA</t>
  </si>
  <si>
    <t>SIGI</t>
  </si>
  <si>
    <t>SILK</t>
  </si>
  <si>
    <t>SITC</t>
  </si>
  <si>
    <t>SITM</t>
  </si>
  <si>
    <t>SIX</t>
  </si>
  <si>
    <t>SJW</t>
  </si>
  <si>
    <t>SKIL</t>
  </si>
  <si>
    <t>SKIN</t>
  </si>
  <si>
    <t>SKT</t>
  </si>
  <si>
    <t>SKWD</t>
  </si>
  <si>
    <t>SKY</t>
  </si>
  <si>
    <t>SKYT</t>
  </si>
  <si>
    <t>SKYW</t>
  </si>
  <si>
    <t>SKYX</t>
  </si>
  <si>
    <t>SLAB</t>
  </si>
  <si>
    <t>SLCA</t>
  </si>
  <si>
    <t>SLDP</t>
  </si>
  <si>
    <t>SLG</t>
  </si>
  <si>
    <t>SLP</t>
  </si>
  <si>
    <t>SLQT</t>
  </si>
  <si>
    <t>SLRN</t>
  </si>
  <si>
    <t>SLVM</t>
  </si>
  <si>
    <t>SM</t>
  </si>
  <si>
    <t>SMBC</t>
  </si>
  <si>
    <t>SMBK</t>
  </si>
  <si>
    <t>SMCI</t>
  </si>
  <si>
    <t>SMHI</t>
  </si>
  <si>
    <t>SMLR</t>
  </si>
  <si>
    <t>SMMF</t>
  </si>
  <si>
    <t>SMMT</t>
  </si>
  <si>
    <t>SMP</t>
  </si>
  <si>
    <t>SMPL</t>
  </si>
  <si>
    <t>SMR</t>
  </si>
  <si>
    <t>SMRT</t>
  </si>
  <si>
    <t>SMTC</t>
  </si>
  <si>
    <t>SMTI</t>
  </si>
  <si>
    <t>SNBR</t>
  </si>
  <si>
    <t>SNCY</t>
  </si>
  <si>
    <t>SNDX</t>
  </si>
  <si>
    <t>SNEX</t>
  </si>
  <si>
    <t>SNFCA</t>
  </si>
  <si>
    <t>SNPO</t>
  </si>
  <si>
    <t>SOI</t>
  </si>
  <si>
    <t>SONO</t>
  </si>
  <si>
    <t>SOUN</t>
  </si>
  <si>
    <t>SOVO</t>
  </si>
  <si>
    <t>SP</t>
  </si>
  <si>
    <t>SPCE</t>
  </si>
  <si>
    <t>SPFI</t>
  </si>
  <si>
    <t>SPHR</t>
  </si>
  <si>
    <t>SPNS</t>
  </si>
  <si>
    <t>SPNT</t>
  </si>
  <si>
    <t>SPOK</t>
  </si>
  <si>
    <t>SPRY</t>
  </si>
  <si>
    <t>SPSC</t>
  </si>
  <si>
    <t>SPT</t>
  </si>
  <si>
    <t>SPTN</t>
  </si>
  <si>
    <t>SPWH</t>
  </si>
  <si>
    <t>SPWR</t>
  </si>
  <si>
    <t>SPXC</t>
  </si>
  <si>
    <t>SQSP</t>
  </si>
  <si>
    <t>SR</t>
  </si>
  <si>
    <t>SRCE</t>
  </si>
  <si>
    <t>SRDX</t>
  </si>
  <si>
    <t>SRI</t>
  </si>
  <si>
    <t>SRRK</t>
  </si>
  <si>
    <t>SSB</t>
  </si>
  <si>
    <t>SSBK</t>
  </si>
  <si>
    <t>SSD</t>
  </si>
  <si>
    <t>SSP</t>
  </si>
  <si>
    <t>SST</t>
  </si>
  <si>
    <t>SSTI</t>
  </si>
  <si>
    <t>SSTK</t>
  </si>
  <si>
    <t>STAA</t>
  </si>
  <si>
    <t>STBA</t>
  </si>
  <si>
    <t>STC</t>
  </si>
  <si>
    <t>STEL</t>
  </si>
  <si>
    <t>STEM</t>
  </si>
  <si>
    <t>STEP</t>
  </si>
  <si>
    <t>STER</t>
  </si>
  <si>
    <t>STGW</t>
  </si>
  <si>
    <t>STHO</t>
  </si>
  <si>
    <t>STKL</t>
  </si>
  <si>
    <t>STKS</t>
  </si>
  <si>
    <t>STNE</t>
  </si>
  <si>
    <t>STNG</t>
  </si>
  <si>
    <t>STOK</t>
  </si>
  <si>
    <t>STR</t>
  </si>
  <si>
    <t>STRA</t>
  </si>
  <si>
    <t>STRL</t>
  </si>
  <si>
    <t>STRO</t>
  </si>
  <si>
    <t>STRS</t>
  </si>
  <si>
    <t>SUM</t>
  </si>
  <si>
    <t>SUPN</t>
  </si>
  <si>
    <t>SVC</t>
  </si>
  <si>
    <t>SVRA</t>
  </si>
  <si>
    <t>SVV</t>
  </si>
  <si>
    <t>SWBI</t>
  </si>
  <si>
    <t>SWI</t>
  </si>
  <si>
    <t>SWIM</t>
  </si>
  <si>
    <t>SWKH</t>
  </si>
  <si>
    <t>SWTX</t>
  </si>
  <si>
    <t>SWX</t>
  </si>
  <si>
    <t>SXC</t>
  </si>
  <si>
    <t>SXI</t>
  </si>
  <si>
    <t>SXT</t>
  </si>
  <si>
    <t>SYBT</t>
  </si>
  <si>
    <t>SYNA</t>
  </si>
  <si>
    <t>TALO</t>
  </si>
  <si>
    <t>TARO</t>
  </si>
  <si>
    <t>TARS</t>
  </si>
  <si>
    <t>TAST</t>
  </si>
  <si>
    <t>TBBK</t>
  </si>
  <si>
    <t>TBI</t>
  </si>
  <si>
    <t>TBPH</t>
  </si>
  <si>
    <t>TCBI</t>
  </si>
  <si>
    <t>TCBK</t>
  </si>
  <si>
    <t>TCBX</t>
  </si>
  <si>
    <t>TCI</t>
  </si>
  <si>
    <t>TCMD</t>
  </si>
  <si>
    <t>TCX</t>
  </si>
  <si>
    <t>TDS</t>
  </si>
  <si>
    <t>TDUP</t>
  </si>
  <si>
    <t>TDW</t>
  </si>
  <si>
    <t>TELA</t>
  </si>
  <si>
    <t>TELL</t>
  </si>
  <si>
    <t>TENB</t>
  </si>
  <si>
    <t>TERN</t>
  </si>
  <si>
    <t>TEX</t>
  </si>
  <si>
    <t>TFIN</t>
  </si>
  <si>
    <t>TG</t>
  </si>
  <si>
    <t>TGAN</t>
  </si>
  <si>
    <t>TGH</t>
  </si>
  <si>
    <t>TGI</t>
  </si>
  <si>
    <t>TGNA</t>
  </si>
  <si>
    <t>TGTX</t>
  </si>
  <si>
    <t>TH</t>
  </si>
  <si>
    <t>THFF</t>
  </si>
  <si>
    <t>THR</t>
  </si>
  <si>
    <t>THRD</t>
  </si>
  <si>
    <t>THRM</t>
  </si>
  <si>
    <t>THRY</t>
  </si>
  <si>
    <t>THS</t>
  </si>
  <si>
    <t>TILE</t>
  </si>
  <si>
    <t>TIO</t>
  </si>
  <si>
    <t>TIPT</t>
  </si>
  <si>
    <t>TITN</t>
  </si>
  <si>
    <t>TK</t>
  </si>
  <si>
    <t>TLYS</t>
  </si>
  <si>
    <t>TMCI</t>
  </si>
  <si>
    <t>TMDX</t>
  </si>
  <si>
    <t>TMHC</t>
  </si>
  <si>
    <t>TMP</t>
  </si>
  <si>
    <t>TMST</t>
  </si>
  <si>
    <t>TNC</t>
  </si>
  <si>
    <t>TNET</t>
  </si>
  <si>
    <t>TNGX</t>
  </si>
  <si>
    <t>TNK</t>
  </si>
  <si>
    <t>TNYA</t>
  </si>
  <si>
    <t>TOWN</t>
  </si>
  <si>
    <t>TPB</t>
  </si>
  <si>
    <t>TPC</t>
  </si>
  <si>
    <t>TPH</t>
  </si>
  <si>
    <t>TPIC</t>
  </si>
  <si>
    <t>TRC</t>
  </si>
  <si>
    <t>TRDA</t>
  </si>
  <si>
    <t>TREE</t>
  </si>
  <si>
    <t>TRMK</t>
  </si>
  <si>
    <t>TRN</t>
  </si>
  <si>
    <t>TRNO</t>
  </si>
  <si>
    <t>TRNS</t>
  </si>
  <si>
    <t>TROX</t>
  </si>
  <si>
    <t>TRS</t>
  </si>
  <si>
    <t>TRST</t>
  </si>
  <si>
    <t>TRTX</t>
  </si>
  <si>
    <t>TRUE</t>
  </si>
  <si>
    <t>TRUP</t>
  </si>
  <si>
    <t>TRVI</t>
  </si>
  <si>
    <t>TSBK</t>
  </si>
  <si>
    <t>TSBX</t>
  </si>
  <si>
    <t>TSE</t>
  </si>
  <si>
    <t>TSQ</t>
  </si>
  <si>
    <t>TSVT</t>
  </si>
  <si>
    <t>TTEC</t>
  </si>
  <si>
    <t>TTGT</t>
  </si>
  <si>
    <t>TTI</t>
  </si>
  <si>
    <t>TTMI</t>
  </si>
  <si>
    <t>TTSH</t>
  </si>
  <si>
    <t>TUSK</t>
  </si>
  <si>
    <t>TVTX</t>
  </si>
  <si>
    <t>TWI</t>
  </si>
  <si>
    <t>TWKS</t>
  </si>
  <si>
    <t>TWO</t>
  </si>
  <si>
    <t>TWOU</t>
  </si>
  <si>
    <t>TWST</t>
  </si>
  <si>
    <t>TYRA</t>
  </si>
  <si>
    <t>UBSI</t>
  </si>
  <si>
    <t>UCBI</t>
  </si>
  <si>
    <t>UCTT</t>
  </si>
  <si>
    <t>UDMY</t>
  </si>
  <si>
    <t>UE</t>
  </si>
  <si>
    <t>UEC</t>
  </si>
  <si>
    <t>UFCS</t>
  </si>
  <si>
    <t>UFPI</t>
  </si>
  <si>
    <t>UFPT</t>
  </si>
  <si>
    <t>UHG</t>
  </si>
  <si>
    <t>UHT</t>
  </si>
  <si>
    <t>UIS</t>
  </si>
  <si>
    <t>ULCC</t>
  </si>
  <si>
    <t>ULH</t>
  </si>
  <si>
    <t>UMBF</t>
  </si>
  <si>
    <t>UMH</t>
  </si>
  <si>
    <t>UNF</t>
  </si>
  <si>
    <t>UNFI</t>
  </si>
  <si>
    <t>UNIT</t>
  </si>
  <si>
    <t>UNTY</t>
  </si>
  <si>
    <t>UONE</t>
  </si>
  <si>
    <t>UONEK</t>
  </si>
  <si>
    <t>UPBD</t>
  </si>
  <si>
    <t>UPST</t>
  </si>
  <si>
    <t>UPWK</t>
  </si>
  <si>
    <t>URBN</t>
  </si>
  <si>
    <t>URGN</t>
  </si>
  <si>
    <t>USCB</t>
  </si>
  <si>
    <t>USLM</t>
  </si>
  <si>
    <t>USNA</t>
  </si>
  <si>
    <t>USPH</t>
  </si>
  <si>
    <t>UTI</t>
  </si>
  <si>
    <t>UTL</t>
  </si>
  <si>
    <t>UTMD</t>
  </si>
  <si>
    <t>UTZ</t>
  </si>
  <si>
    <t>UUUU</t>
  </si>
  <si>
    <t>UVE</t>
  </si>
  <si>
    <t>UVSP</t>
  </si>
  <si>
    <t>UVV</t>
  </si>
  <si>
    <t>VABK</t>
  </si>
  <si>
    <t>VAL</t>
  </si>
  <si>
    <t>VALU</t>
  </si>
  <si>
    <t>VATE</t>
  </si>
  <si>
    <t>VAXX</t>
  </si>
  <si>
    <t>VBTX</t>
  </si>
  <si>
    <t>VC</t>
  </si>
  <si>
    <t>VCEL</t>
  </si>
  <si>
    <t>VCTR</t>
  </si>
  <si>
    <t>VCYT</t>
  </si>
  <si>
    <t>VECO</t>
  </si>
  <si>
    <t>VEL</t>
  </si>
  <si>
    <t>VERA</t>
  </si>
  <si>
    <t>VERI</t>
  </si>
  <si>
    <t>VERV</t>
  </si>
  <si>
    <t>VGAS</t>
  </si>
  <si>
    <t>VGR</t>
  </si>
  <si>
    <t>VHI</t>
  </si>
  <si>
    <t>VIAV</t>
  </si>
  <si>
    <t>VICR</t>
  </si>
  <si>
    <t>VIGL</t>
  </si>
  <si>
    <t>VIR</t>
  </si>
  <si>
    <t>VITL</t>
  </si>
  <si>
    <t>VKTX</t>
  </si>
  <si>
    <t>VLD</t>
  </si>
  <si>
    <t>VLGEA</t>
  </si>
  <si>
    <t>VLY</t>
  </si>
  <si>
    <t>VMD</t>
  </si>
  <si>
    <t>VMEO</t>
  </si>
  <si>
    <t>VNDA</t>
  </si>
  <si>
    <t>VOR</t>
  </si>
  <si>
    <t>VOXX</t>
  </si>
  <si>
    <t>VPG</t>
  </si>
  <si>
    <t>VRA</t>
  </si>
  <si>
    <t>VRCA</t>
  </si>
  <si>
    <t>VRDN</t>
  </si>
  <si>
    <t>VRE</t>
  </si>
  <si>
    <t>VREX</t>
  </si>
  <si>
    <t>VRNS</t>
  </si>
  <si>
    <t>VRNT</t>
  </si>
  <si>
    <t>VRRM</t>
  </si>
  <si>
    <t>VRTS</t>
  </si>
  <si>
    <t>VSEC</t>
  </si>
  <si>
    <t>VSH</t>
  </si>
  <si>
    <t>VSTO</t>
  </si>
  <si>
    <t>VTLE</t>
  </si>
  <si>
    <t>VTNR</t>
  </si>
  <si>
    <t>VTOL</t>
  </si>
  <si>
    <t>VTS</t>
  </si>
  <si>
    <t>VTYX</t>
  </si>
  <si>
    <t>VUZI</t>
  </si>
  <si>
    <t>VVI</t>
  </si>
  <si>
    <t>VVX</t>
  </si>
  <si>
    <t>VYGR</t>
  </si>
  <si>
    <t>VZIO</t>
  </si>
  <si>
    <t>WABC</t>
  </si>
  <si>
    <t>WAFD</t>
  </si>
  <si>
    <t>WALD</t>
  </si>
  <si>
    <t>WASH</t>
  </si>
  <si>
    <t>WD</t>
  </si>
  <si>
    <t>WDFC</t>
  </si>
  <si>
    <t>WEAV</t>
  </si>
  <si>
    <t>WERN</t>
  </si>
  <si>
    <t>WEST</t>
  </si>
  <si>
    <t>WEYS</t>
  </si>
  <si>
    <t>WFRD</t>
  </si>
  <si>
    <t>WGO</t>
  </si>
  <si>
    <t>WHD</t>
  </si>
  <si>
    <t>WINA</t>
  </si>
  <si>
    <t>WIRE</t>
  </si>
  <si>
    <t>WISH</t>
  </si>
  <si>
    <t>WK</t>
  </si>
  <si>
    <t>WKC</t>
  </si>
  <si>
    <t>WKHS</t>
  </si>
  <si>
    <t>WLDN</t>
  </si>
  <si>
    <t>WLFC</t>
  </si>
  <si>
    <t>WLY</t>
  </si>
  <si>
    <t>WMK</t>
  </si>
  <si>
    <t>WNC</t>
  </si>
  <si>
    <t>WOR</t>
  </si>
  <si>
    <t>WOW</t>
  </si>
  <si>
    <t>WRBY</t>
  </si>
  <si>
    <t>WRLD</t>
  </si>
  <si>
    <t>WS</t>
  </si>
  <si>
    <t>WSBC</t>
  </si>
  <si>
    <t>WSBF</t>
  </si>
  <si>
    <t>WSFS</t>
  </si>
  <si>
    <t>WSR</t>
  </si>
  <si>
    <t>WT</t>
  </si>
  <si>
    <t>WTBA</t>
  </si>
  <si>
    <t>WTI</t>
  </si>
  <si>
    <t>WTS</t>
  </si>
  <si>
    <t>WTTR</t>
  </si>
  <si>
    <t>WULF</t>
  </si>
  <si>
    <t>WVE</t>
  </si>
  <si>
    <t>WW</t>
  </si>
  <si>
    <t>WWW</t>
  </si>
  <si>
    <t>XAIR</t>
  </si>
  <si>
    <t>XERS</t>
  </si>
  <si>
    <t>XFOR</t>
  </si>
  <si>
    <t>XHR</t>
  </si>
  <si>
    <t>XMTR</t>
  </si>
  <si>
    <t>XNCR</t>
  </si>
  <si>
    <t>XOMA</t>
  </si>
  <si>
    <t>XPEL</t>
  </si>
  <si>
    <t>XPER</t>
  </si>
  <si>
    <t>XPOF</t>
  </si>
  <si>
    <t>XPRO</t>
  </si>
  <si>
    <t>XRX</t>
  </si>
  <si>
    <t>YELP</t>
  </si>
  <si>
    <t>YEXT</t>
  </si>
  <si>
    <t>YMAB</t>
  </si>
  <si>
    <t>YORW</t>
  </si>
  <si>
    <t>YOU</t>
  </si>
  <si>
    <t>ZD</t>
  </si>
  <si>
    <t>ZETA</t>
  </si>
  <si>
    <t>ZEUS</t>
  </si>
  <si>
    <t>ZIMV</t>
  </si>
  <si>
    <t>ZIP</t>
  </si>
  <si>
    <t>ZNTL</t>
  </si>
  <si>
    <t>ZUMZ</t>
  </si>
  <si>
    <t>ZUO</t>
  </si>
  <si>
    <t>ZURA</t>
  </si>
  <si>
    <t>ZVIA</t>
  </si>
  <si>
    <t>ZVRA</t>
  </si>
  <si>
    <t>ZWS</t>
  </si>
  <si>
    <t>ZYME</t>
  </si>
  <si>
    <t>ZYXI</t>
  </si>
  <si>
    <t>One Month Price Return</t>
  </si>
  <si>
    <t>Three Month Price Return</t>
  </si>
  <si>
    <t>Six Month Price Return</t>
  </si>
  <si>
    <t>Year-To-Date Price Return</t>
  </si>
  <si>
    <t>One Year Price Return</t>
  </si>
  <si>
    <t>Two Year Price Return</t>
  </si>
  <si>
    <t>Five Year Price Return</t>
  </si>
  <si>
    <t>Notes</t>
  </si>
  <si>
    <t>Data Provided by IEX Cloud</t>
  </si>
  <si>
    <t>Data updated on 2024-02-21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</si>
</sst>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5"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F807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\$#,##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\$#,##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\$#,##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\$#,##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\$#,##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/>
      </font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F807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43"/>
  <sheetViews>
    <sheetView tabSelected="1" workbookViewId="0">
      <pane xSplit="1" ySplit="1" topLeftCell="B367" activePane="bottomRight" state="frozen"/>
      <selection pane="topRight" activeCell="B1" sqref="B1"/>
      <selection pane="bottomLeft" activeCell="A2" sqref="A2"/>
      <selection pane="bottomRight" activeCell="I376" sqref="I376"/>
    </sheetView>
  </sheetViews>
  <sheetFormatPr baseColWidth="10" defaultColWidth="8.83203125" defaultRowHeight="15" x14ac:dyDescent="0.2"/>
  <cols>
    <col min="1" max="1" width="25.6640625" customWidth="1"/>
    <col min="2" max="2" width="15.6640625" customWidth="1"/>
  </cols>
  <sheetData>
    <row r="1" spans="1:1" x14ac:dyDescent="0.2">
      <c r="A1" s="1" t="s">
        <v>1</v>
      </c>
    </row>
    <row r="2" spans="1:1" x14ac:dyDescent="0.2">
      <c r="A2" s="1" t="s">
        <v>2</v>
      </c>
    </row>
    <row r="3" spans="1:1" x14ac:dyDescent="0.2">
      <c r="A3" s="1" t="s">
        <v>3</v>
      </c>
    </row>
    <row r="4" spans="1:1" x14ac:dyDescent="0.2">
      <c r="A4" s="1" t="s">
        <v>4</v>
      </c>
    </row>
    <row r="5" spans="1:1" x14ac:dyDescent="0.2">
      <c r="A5" s="1" t="s">
        <v>5</v>
      </c>
    </row>
    <row r="6" spans="1:1" x14ac:dyDescent="0.2">
      <c r="A6" s="1" t="s">
        <v>6</v>
      </c>
    </row>
    <row r="7" spans="1:1" x14ac:dyDescent="0.2">
      <c r="A7" s="1" t="s">
        <v>7</v>
      </c>
    </row>
    <row r="8" spans="1:1" x14ac:dyDescent="0.2">
      <c r="A8" s="1" t="s">
        <v>8</v>
      </c>
    </row>
    <row r="9" spans="1:1" x14ac:dyDescent="0.2">
      <c r="A9" s="1" t="s">
        <v>9</v>
      </c>
    </row>
    <row r="10" spans="1:1" x14ac:dyDescent="0.2">
      <c r="A10" s="1" t="s">
        <v>10</v>
      </c>
    </row>
    <row r="11" spans="1:1" x14ac:dyDescent="0.2">
      <c r="A11" s="1" t="s">
        <v>11</v>
      </c>
    </row>
    <row r="12" spans="1:1" x14ac:dyDescent="0.2">
      <c r="A12" s="1" t="s">
        <v>12</v>
      </c>
    </row>
    <row r="13" spans="1:1" x14ac:dyDescent="0.2">
      <c r="A13" s="1" t="s">
        <v>13</v>
      </c>
    </row>
    <row r="14" spans="1:1" x14ac:dyDescent="0.2">
      <c r="A14" s="1" t="s">
        <v>14</v>
      </c>
    </row>
    <row r="15" spans="1:1" x14ac:dyDescent="0.2">
      <c r="A15" s="1" t="s">
        <v>15</v>
      </c>
    </row>
    <row r="16" spans="1:1" x14ac:dyDescent="0.2">
      <c r="A16" s="1" t="s">
        <v>16</v>
      </c>
    </row>
    <row r="17" spans="1:1" x14ac:dyDescent="0.2">
      <c r="A17" s="1" t="s">
        <v>17</v>
      </c>
    </row>
    <row r="18" spans="1:1" x14ac:dyDescent="0.2">
      <c r="A18" s="1" t="s">
        <v>18</v>
      </c>
    </row>
    <row r="19" spans="1:1" x14ac:dyDescent="0.2">
      <c r="A19" s="1" t="s">
        <v>19</v>
      </c>
    </row>
    <row r="20" spans="1:1" x14ac:dyDescent="0.2">
      <c r="A20" s="1" t="s">
        <v>20</v>
      </c>
    </row>
    <row r="21" spans="1:1" x14ac:dyDescent="0.2">
      <c r="A21" s="1" t="s">
        <v>21</v>
      </c>
    </row>
    <row r="22" spans="1:1" x14ac:dyDescent="0.2">
      <c r="A22" s="1" t="s">
        <v>22</v>
      </c>
    </row>
    <row r="23" spans="1:1" x14ac:dyDescent="0.2">
      <c r="A23" s="1" t="s">
        <v>23</v>
      </c>
    </row>
    <row r="24" spans="1:1" x14ac:dyDescent="0.2">
      <c r="A24" s="1" t="s">
        <v>24</v>
      </c>
    </row>
    <row r="25" spans="1:1" x14ac:dyDescent="0.2">
      <c r="A25" s="1" t="s">
        <v>25</v>
      </c>
    </row>
    <row r="26" spans="1:1" x14ac:dyDescent="0.2">
      <c r="A26" s="1" t="s">
        <v>26</v>
      </c>
    </row>
    <row r="27" spans="1:1" x14ac:dyDescent="0.2">
      <c r="A27" s="1" t="s">
        <v>27</v>
      </c>
    </row>
    <row r="28" spans="1:1" x14ac:dyDescent="0.2">
      <c r="A28" s="1" t="s">
        <v>28</v>
      </c>
    </row>
    <row r="29" spans="1:1" x14ac:dyDescent="0.2">
      <c r="A29" s="1" t="s">
        <v>29</v>
      </c>
    </row>
    <row r="30" spans="1:1" x14ac:dyDescent="0.2">
      <c r="A30" s="1" t="s">
        <v>30</v>
      </c>
    </row>
    <row r="31" spans="1:1" x14ac:dyDescent="0.2">
      <c r="A31" s="1" t="s">
        <v>31</v>
      </c>
    </row>
    <row r="32" spans="1:1" x14ac:dyDescent="0.2">
      <c r="A32" s="1" t="s">
        <v>32</v>
      </c>
    </row>
    <row r="33" spans="1:1" x14ac:dyDescent="0.2">
      <c r="A33" s="1" t="s">
        <v>33</v>
      </c>
    </row>
    <row r="34" spans="1:1" x14ac:dyDescent="0.2">
      <c r="A34" s="1" t="s">
        <v>34</v>
      </c>
    </row>
    <row r="35" spans="1:1" x14ac:dyDescent="0.2">
      <c r="A35" s="1" t="s">
        <v>35</v>
      </c>
    </row>
    <row r="36" spans="1:1" x14ac:dyDescent="0.2">
      <c r="A36" s="1" t="s">
        <v>36</v>
      </c>
    </row>
    <row r="37" spans="1:1" x14ac:dyDescent="0.2">
      <c r="A37" s="1" t="s">
        <v>37</v>
      </c>
    </row>
    <row r="38" spans="1:1" x14ac:dyDescent="0.2">
      <c r="A38" s="1" t="s">
        <v>38</v>
      </c>
    </row>
    <row r="39" spans="1:1" x14ac:dyDescent="0.2">
      <c r="A39" s="1" t="s">
        <v>39</v>
      </c>
    </row>
    <row r="40" spans="1:1" x14ac:dyDescent="0.2">
      <c r="A40" s="1" t="s">
        <v>40</v>
      </c>
    </row>
    <row r="41" spans="1:1" x14ac:dyDescent="0.2">
      <c r="A41" s="1" t="s">
        <v>41</v>
      </c>
    </row>
    <row r="42" spans="1:1" x14ac:dyDescent="0.2">
      <c r="A42" s="1" t="s">
        <v>42</v>
      </c>
    </row>
    <row r="43" spans="1:1" x14ac:dyDescent="0.2">
      <c r="A43" s="1" t="s">
        <v>43</v>
      </c>
    </row>
    <row r="44" spans="1:1" x14ac:dyDescent="0.2">
      <c r="A44" s="1" t="s">
        <v>44</v>
      </c>
    </row>
    <row r="45" spans="1:1" x14ac:dyDescent="0.2">
      <c r="A45" s="1" t="s">
        <v>45</v>
      </c>
    </row>
    <row r="46" spans="1:1" x14ac:dyDescent="0.2">
      <c r="A46" s="1" t="s">
        <v>46</v>
      </c>
    </row>
    <row r="47" spans="1:1" x14ac:dyDescent="0.2">
      <c r="A47" s="1" t="s">
        <v>47</v>
      </c>
    </row>
    <row r="48" spans="1:1" x14ac:dyDescent="0.2">
      <c r="A48" s="1" t="s">
        <v>48</v>
      </c>
    </row>
    <row r="49" spans="1:1" x14ac:dyDescent="0.2">
      <c r="A49" s="1" t="s">
        <v>49</v>
      </c>
    </row>
    <row r="50" spans="1:1" x14ac:dyDescent="0.2">
      <c r="A50" s="1" t="s">
        <v>50</v>
      </c>
    </row>
    <row r="51" spans="1:1" x14ac:dyDescent="0.2">
      <c r="A51" s="1" t="s">
        <v>51</v>
      </c>
    </row>
    <row r="52" spans="1:1" x14ac:dyDescent="0.2">
      <c r="A52" s="1" t="s">
        <v>52</v>
      </c>
    </row>
    <row r="53" spans="1:1" x14ac:dyDescent="0.2">
      <c r="A53" s="1" t="s">
        <v>53</v>
      </c>
    </row>
    <row r="54" spans="1:1" x14ac:dyDescent="0.2">
      <c r="A54" s="1" t="s">
        <v>54</v>
      </c>
    </row>
    <row r="55" spans="1:1" x14ac:dyDescent="0.2">
      <c r="A55" s="1" t="s">
        <v>55</v>
      </c>
    </row>
    <row r="56" spans="1:1" x14ac:dyDescent="0.2">
      <c r="A56" s="1" t="s">
        <v>56</v>
      </c>
    </row>
    <row r="57" spans="1:1" x14ac:dyDescent="0.2">
      <c r="A57" s="1" t="s">
        <v>57</v>
      </c>
    </row>
    <row r="58" spans="1:1" x14ac:dyDescent="0.2">
      <c r="A58" s="1" t="s">
        <v>58</v>
      </c>
    </row>
    <row r="59" spans="1:1" x14ac:dyDescent="0.2">
      <c r="A59" s="1" t="s">
        <v>59</v>
      </c>
    </row>
    <row r="60" spans="1:1" x14ac:dyDescent="0.2">
      <c r="A60" s="1" t="s">
        <v>60</v>
      </c>
    </row>
    <row r="61" spans="1:1" x14ac:dyDescent="0.2">
      <c r="A61" s="1" t="s">
        <v>61</v>
      </c>
    </row>
    <row r="62" spans="1:1" x14ac:dyDescent="0.2">
      <c r="A62" s="1" t="s">
        <v>62</v>
      </c>
    </row>
    <row r="63" spans="1:1" x14ac:dyDescent="0.2">
      <c r="A63" s="1" t="s">
        <v>63</v>
      </c>
    </row>
    <row r="64" spans="1:1" x14ac:dyDescent="0.2">
      <c r="A64" s="1" t="s">
        <v>64</v>
      </c>
    </row>
    <row r="65" spans="1:1" x14ac:dyDescent="0.2">
      <c r="A65" s="1" t="s">
        <v>65</v>
      </c>
    </row>
    <row r="66" spans="1:1" x14ac:dyDescent="0.2">
      <c r="A66" s="1" t="s">
        <v>66</v>
      </c>
    </row>
    <row r="67" spans="1:1" x14ac:dyDescent="0.2">
      <c r="A67" s="1" t="s">
        <v>67</v>
      </c>
    </row>
    <row r="68" spans="1:1" x14ac:dyDescent="0.2">
      <c r="A68" s="1" t="s">
        <v>68</v>
      </c>
    </row>
    <row r="69" spans="1:1" x14ac:dyDescent="0.2">
      <c r="A69" s="1" t="s">
        <v>69</v>
      </c>
    </row>
    <row r="70" spans="1:1" x14ac:dyDescent="0.2">
      <c r="A70" s="1" t="s">
        <v>70</v>
      </c>
    </row>
    <row r="71" spans="1:1" x14ac:dyDescent="0.2">
      <c r="A71" s="1" t="s">
        <v>71</v>
      </c>
    </row>
    <row r="72" spans="1:1" x14ac:dyDescent="0.2">
      <c r="A72" s="1" t="s">
        <v>72</v>
      </c>
    </row>
    <row r="73" spans="1:1" x14ac:dyDescent="0.2">
      <c r="A73" s="1" t="s">
        <v>73</v>
      </c>
    </row>
    <row r="74" spans="1:1" x14ac:dyDescent="0.2">
      <c r="A74" s="1" t="s">
        <v>74</v>
      </c>
    </row>
    <row r="75" spans="1:1" x14ac:dyDescent="0.2">
      <c r="A75" s="1" t="s">
        <v>75</v>
      </c>
    </row>
    <row r="76" spans="1:1" x14ac:dyDescent="0.2">
      <c r="A76" s="1" t="s">
        <v>76</v>
      </c>
    </row>
    <row r="77" spans="1:1" x14ac:dyDescent="0.2">
      <c r="A77" s="1" t="s">
        <v>77</v>
      </c>
    </row>
    <row r="78" spans="1:1" x14ac:dyDescent="0.2">
      <c r="A78" s="1" t="s">
        <v>78</v>
      </c>
    </row>
    <row r="79" spans="1:1" x14ac:dyDescent="0.2">
      <c r="A79" s="1" t="s">
        <v>79</v>
      </c>
    </row>
    <row r="80" spans="1:1" x14ac:dyDescent="0.2">
      <c r="A80" s="1" t="s">
        <v>80</v>
      </c>
    </row>
    <row r="81" spans="1:1" x14ac:dyDescent="0.2">
      <c r="A81" s="1" t="s">
        <v>81</v>
      </c>
    </row>
    <row r="82" spans="1:1" x14ac:dyDescent="0.2">
      <c r="A82" s="1" t="s">
        <v>82</v>
      </c>
    </row>
    <row r="83" spans="1:1" x14ac:dyDescent="0.2">
      <c r="A83" s="1" t="s">
        <v>83</v>
      </c>
    </row>
    <row r="84" spans="1:1" x14ac:dyDescent="0.2">
      <c r="A84" s="1" t="s">
        <v>84</v>
      </c>
    </row>
    <row r="85" spans="1:1" x14ac:dyDescent="0.2">
      <c r="A85" s="1" t="s">
        <v>85</v>
      </c>
    </row>
    <row r="86" spans="1:1" x14ac:dyDescent="0.2">
      <c r="A86" s="1" t="s">
        <v>86</v>
      </c>
    </row>
    <row r="87" spans="1:1" x14ac:dyDescent="0.2">
      <c r="A87" s="1" t="s">
        <v>87</v>
      </c>
    </row>
    <row r="88" spans="1:1" x14ac:dyDescent="0.2">
      <c r="A88" s="1" t="s">
        <v>88</v>
      </c>
    </row>
    <row r="89" spans="1:1" x14ac:dyDescent="0.2">
      <c r="A89" s="1" t="s">
        <v>89</v>
      </c>
    </row>
    <row r="90" spans="1:1" x14ac:dyDescent="0.2">
      <c r="A90" s="1" t="s">
        <v>90</v>
      </c>
    </row>
    <row r="91" spans="1:1" x14ac:dyDescent="0.2">
      <c r="A91" s="1" t="s">
        <v>91</v>
      </c>
    </row>
    <row r="92" spans="1:1" x14ac:dyDescent="0.2">
      <c r="A92" s="1" t="s">
        <v>92</v>
      </c>
    </row>
    <row r="93" spans="1:1" x14ac:dyDescent="0.2">
      <c r="A93" s="1" t="s">
        <v>93</v>
      </c>
    </row>
    <row r="94" spans="1:1" x14ac:dyDescent="0.2">
      <c r="A94" s="1" t="s">
        <v>94</v>
      </c>
    </row>
    <row r="95" spans="1:1" x14ac:dyDescent="0.2">
      <c r="A95" s="1" t="s">
        <v>95</v>
      </c>
    </row>
    <row r="96" spans="1:1" x14ac:dyDescent="0.2">
      <c r="A96" s="1" t="s">
        <v>96</v>
      </c>
    </row>
    <row r="97" spans="1:1" x14ac:dyDescent="0.2">
      <c r="A97" s="1" t="s">
        <v>97</v>
      </c>
    </row>
    <row r="98" spans="1:1" x14ac:dyDescent="0.2">
      <c r="A98" s="1" t="s">
        <v>98</v>
      </c>
    </row>
    <row r="99" spans="1:1" x14ac:dyDescent="0.2">
      <c r="A99" s="1" t="s">
        <v>99</v>
      </c>
    </row>
    <row r="100" spans="1:1" x14ac:dyDescent="0.2">
      <c r="A100" s="1" t="s">
        <v>100</v>
      </c>
    </row>
    <row r="101" spans="1:1" x14ac:dyDescent="0.2">
      <c r="A101" s="1" t="s">
        <v>101</v>
      </c>
    </row>
    <row r="102" spans="1:1" x14ac:dyDescent="0.2">
      <c r="A102" s="1" t="s">
        <v>102</v>
      </c>
    </row>
    <row r="103" spans="1:1" x14ac:dyDescent="0.2">
      <c r="A103" s="1" t="s">
        <v>103</v>
      </c>
    </row>
    <row r="104" spans="1:1" x14ac:dyDescent="0.2">
      <c r="A104" s="1" t="s">
        <v>104</v>
      </c>
    </row>
    <row r="105" spans="1:1" x14ac:dyDescent="0.2">
      <c r="A105" s="1" t="s">
        <v>105</v>
      </c>
    </row>
    <row r="106" spans="1:1" x14ac:dyDescent="0.2">
      <c r="A106" s="1" t="s">
        <v>106</v>
      </c>
    </row>
    <row r="107" spans="1:1" x14ac:dyDescent="0.2">
      <c r="A107" s="1" t="s">
        <v>107</v>
      </c>
    </row>
    <row r="108" spans="1:1" x14ac:dyDescent="0.2">
      <c r="A108" s="1" t="s">
        <v>108</v>
      </c>
    </row>
    <row r="109" spans="1:1" x14ac:dyDescent="0.2">
      <c r="A109" s="1" t="s">
        <v>109</v>
      </c>
    </row>
    <row r="110" spans="1:1" x14ac:dyDescent="0.2">
      <c r="A110" s="1" t="s">
        <v>110</v>
      </c>
    </row>
    <row r="111" spans="1:1" x14ac:dyDescent="0.2">
      <c r="A111" s="1" t="s">
        <v>111</v>
      </c>
    </row>
    <row r="112" spans="1:1" x14ac:dyDescent="0.2">
      <c r="A112" s="1" t="s">
        <v>112</v>
      </c>
    </row>
    <row r="113" spans="1:1" x14ac:dyDescent="0.2">
      <c r="A113" s="1" t="s">
        <v>113</v>
      </c>
    </row>
    <row r="114" spans="1:1" x14ac:dyDescent="0.2">
      <c r="A114" s="1" t="s">
        <v>114</v>
      </c>
    </row>
    <row r="115" spans="1:1" x14ac:dyDescent="0.2">
      <c r="A115" s="1" t="s">
        <v>115</v>
      </c>
    </row>
    <row r="116" spans="1:1" x14ac:dyDescent="0.2">
      <c r="A116" s="1" t="s">
        <v>116</v>
      </c>
    </row>
    <row r="117" spans="1:1" x14ac:dyDescent="0.2">
      <c r="A117" s="1" t="s">
        <v>117</v>
      </c>
    </row>
    <row r="118" spans="1:1" x14ac:dyDescent="0.2">
      <c r="A118" s="1" t="s">
        <v>118</v>
      </c>
    </row>
    <row r="119" spans="1:1" x14ac:dyDescent="0.2">
      <c r="A119" s="1" t="s">
        <v>119</v>
      </c>
    </row>
    <row r="120" spans="1:1" x14ac:dyDescent="0.2">
      <c r="A120" s="1" t="s">
        <v>120</v>
      </c>
    </row>
    <row r="121" spans="1:1" x14ac:dyDescent="0.2">
      <c r="A121" s="1" t="s">
        <v>121</v>
      </c>
    </row>
    <row r="122" spans="1:1" x14ac:dyDescent="0.2">
      <c r="A122" s="1" t="s">
        <v>122</v>
      </c>
    </row>
    <row r="123" spans="1:1" x14ac:dyDescent="0.2">
      <c r="A123" s="1" t="s">
        <v>123</v>
      </c>
    </row>
    <row r="124" spans="1:1" x14ac:dyDescent="0.2">
      <c r="A124" s="1" t="s">
        <v>124</v>
      </c>
    </row>
    <row r="125" spans="1:1" x14ac:dyDescent="0.2">
      <c r="A125" s="1" t="s">
        <v>125</v>
      </c>
    </row>
    <row r="126" spans="1:1" x14ac:dyDescent="0.2">
      <c r="A126" s="1" t="s">
        <v>126</v>
      </c>
    </row>
    <row r="127" spans="1:1" x14ac:dyDescent="0.2">
      <c r="A127" s="1" t="s">
        <v>127</v>
      </c>
    </row>
    <row r="128" spans="1:1" x14ac:dyDescent="0.2">
      <c r="A128" s="1" t="s">
        <v>128</v>
      </c>
    </row>
    <row r="129" spans="1:1" x14ac:dyDescent="0.2">
      <c r="A129" s="1" t="s">
        <v>129</v>
      </c>
    </row>
    <row r="130" spans="1:1" x14ac:dyDescent="0.2">
      <c r="A130" s="1" t="s">
        <v>130</v>
      </c>
    </row>
    <row r="131" spans="1:1" x14ac:dyDescent="0.2">
      <c r="A131" s="1" t="s">
        <v>131</v>
      </c>
    </row>
    <row r="132" spans="1:1" x14ac:dyDescent="0.2">
      <c r="A132" s="1" t="s">
        <v>132</v>
      </c>
    </row>
    <row r="133" spans="1:1" x14ac:dyDescent="0.2">
      <c r="A133" s="1" t="s">
        <v>133</v>
      </c>
    </row>
    <row r="134" spans="1:1" x14ac:dyDescent="0.2">
      <c r="A134" s="1" t="s">
        <v>134</v>
      </c>
    </row>
    <row r="135" spans="1:1" x14ac:dyDescent="0.2">
      <c r="A135" s="1" t="s">
        <v>135</v>
      </c>
    </row>
    <row r="136" spans="1:1" x14ac:dyDescent="0.2">
      <c r="A136" s="1" t="s">
        <v>136</v>
      </c>
    </row>
    <row r="137" spans="1:1" x14ac:dyDescent="0.2">
      <c r="A137" s="1" t="s">
        <v>137</v>
      </c>
    </row>
    <row r="138" spans="1:1" x14ac:dyDescent="0.2">
      <c r="A138" s="1" t="s">
        <v>138</v>
      </c>
    </row>
    <row r="139" spans="1:1" x14ac:dyDescent="0.2">
      <c r="A139" s="1" t="s">
        <v>139</v>
      </c>
    </row>
    <row r="140" spans="1:1" x14ac:dyDescent="0.2">
      <c r="A140" s="1" t="s">
        <v>140</v>
      </c>
    </row>
    <row r="141" spans="1:1" x14ac:dyDescent="0.2">
      <c r="A141" s="1" t="s">
        <v>141</v>
      </c>
    </row>
    <row r="142" spans="1:1" x14ac:dyDescent="0.2">
      <c r="A142" s="1" t="s">
        <v>142</v>
      </c>
    </row>
    <row r="143" spans="1:1" x14ac:dyDescent="0.2">
      <c r="A143" s="1" t="s">
        <v>143</v>
      </c>
    </row>
    <row r="144" spans="1:1" x14ac:dyDescent="0.2">
      <c r="A144" s="1" t="s">
        <v>144</v>
      </c>
    </row>
    <row r="145" spans="1:1" x14ac:dyDescent="0.2">
      <c r="A145" s="1" t="s">
        <v>145</v>
      </c>
    </row>
    <row r="146" spans="1:1" x14ac:dyDescent="0.2">
      <c r="A146" s="1" t="s">
        <v>146</v>
      </c>
    </row>
    <row r="147" spans="1:1" x14ac:dyDescent="0.2">
      <c r="A147" s="1" t="s">
        <v>147</v>
      </c>
    </row>
    <row r="148" spans="1:1" x14ac:dyDescent="0.2">
      <c r="A148" s="1" t="s">
        <v>148</v>
      </c>
    </row>
    <row r="149" spans="1:1" x14ac:dyDescent="0.2">
      <c r="A149" s="1" t="s">
        <v>149</v>
      </c>
    </row>
    <row r="150" spans="1:1" x14ac:dyDescent="0.2">
      <c r="A150" s="1" t="s">
        <v>150</v>
      </c>
    </row>
    <row r="151" spans="1:1" x14ac:dyDescent="0.2">
      <c r="A151" s="1" t="s">
        <v>151</v>
      </c>
    </row>
    <row r="152" spans="1:1" x14ac:dyDescent="0.2">
      <c r="A152" s="1" t="s">
        <v>152</v>
      </c>
    </row>
    <row r="153" spans="1:1" x14ac:dyDescent="0.2">
      <c r="A153" s="1" t="s">
        <v>153</v>
      </c>
    </row>
    <row r="154" spans="1:1" x14ac:dyDescent="0.2">
      <c r="A154" s="1" t="s">
        <v>154</v>
      </c>
    </row>
    <row r="155" spans="1:1" x14ac:dyDescent="0.2">
      <c r="A155" s="1" t="s">
        <v>155</v>
      </c>
    </row>
    <row r="156" spans="1:1" x14ac:dyDescent="0.2">
      <c r="A156" s="1" t="s">
        <v>156</v>
      </c>
    </row>
    <row r="157" spans="1:1" x14ac:dyDescent="0.2">
      <c r="A157" s="1" t="s">
        <v>157</v>
      </c>
    </row>
    <row r="158" spans="1:1" x14ac:dyDescent="0.2">
      <c r="A158" s="1" t="s">
        <v>158</v>
      </c>
    </row>
    <row r="159" spans="1:1" x14ac:dyDescent="0.2">
      <c r="A159" s="1" t="s">
        <v>159</v>
      </c>
    </row>
    <row r="160" spans="1:1" x14ac:dyDescent="0.2">
      <c r="A160" s="1" t="s">
        <v>160</v>
      </c>
    </row>
    <row r="161" spans="1:1" x14ac:dyDescent="0.2">
      <c r="A161" s="1" t="s">
        <v>161</v>
      </c>
    </row>
    <row r="162" spans="1:1" x14ac:dyDescent="0.2">
      <c r="A162" s="1" t="s">
        <v>162</v>
      </c>
    </row>
    <row r="163" spans="1:1" x14ac:dyDescent="0.2">
      <c r="A163" s="1" t="s">
        <v>163</v>
      </c>
    </row>
    <row r="164" spans="1:1" x14ac:dyDescent="0.2">
      <c r="A164" s="1" t="s">
        <v>164</v>
      </c>
    </row>
    <row r="165" spans="1:1" x14ac:dyDescent="0.2">
      <c r="A165" s="1" t="s">
        <v>165</v>
      </c>
    </row>
    <row r="166" spans="1:1" x14ac:dyDescent="0.2">
      <c r="A166" s="1" t="s">
        <v>166</v>
      </c>
    </row>
    <row r="167" spans="1:1" x14ac:dyDescent="0.2">
      <c r="A167" s="1" t="s">
        <v>167</v>
      </c>
    </row>
    <row r="168" spans="1:1" x14ac:dyDescent="0.2">
      <c r="A168" s="1" t="s">
        <v>168</v>
      </c>
    </row>
    <row r="169" spans="1:1" x14ac:dyDescent="0.2">
      <c r="A169" s="1" t="s">
        <v>169</v>
      </c>
    </row>
    <row r="170" spans="1:1" x14ac:dyDescent="0.2">
      <c r="A170" s="1" t="s">
        <v>170</v>
      </c>
    </row>
    <row r="171" spans="1:1" x14ac:dyDescent="0.2">
      <c r="A171" s="1" t="s">
        <v>171</v>
      </c>
    </row>
    <row r="172" spans="1:1" x14ac:dyDescent="0.2">
      <c r="A172" s="1" t="s">
        <v>172</v>
      </c>
    </row>
    <row r="173" spans="1:1" x14ac:dyDescent="0.2">
      <c r="A173" s="1" t="s">
        <v>173</v>
      </c>
    </row>
    <row r="174" spans="1:1" x14ac:dyDescent="0.2">
      <c r="A174" s="1" t="s">
        <v>174</v>
      </c>
    </row>
    <row r="175" spans="1:1" x14ac:dyDescent="0.2">
      <c r="A175" s="1" t="s">
        <v>175</v>
      </c>
    </row>
    <row r="176" spans="1:1" x14ac:dyDescent="0.2">
      <c r="A176" s="1" t="s">
        <v>176</v>
      </c>
    </row>
    <row r="177" spans="1:1" x14ac:dyDescent="0.2">
      <c r="A177" s="1" t="s">
        <v>177</v>
      </c>
    </row>
    <row r="178" spans="1:1" x14ac:dyDescent="0.2">
      <c r="A178" s="1" t="s">
        <v>178</v>
      </c>
    </row>
    <row r="179" spans="1:1" x14ac:dyDescent="0.2">
      <c r="A179" s="1" t="s">
        <v>179</v>
      </c>
    </row>
    <row r="180" spans="1:1" x14ac:dyDescent="0.2">
      <c r="A180" s="1" t="s">
        <v>180</v>
      </c>
    </row>
    <row r="181" spans="1:1" x14ac:dyDescent="0.2">
      <c r="A181" s="1" t="s">
        <v>181</v>
      </c>
    </row>
    <row r="182" spans="1:1" x14ac:dyDescent="0.2">
      <c r="A182" s="1" t="s">
        <v>182</v>
      </c>
    </row>
    <row r="183" spans="1:1" x14ac:dyDescent="0.2">
      <c r="A183" s="1" t="s">
        <v>183</v>
      </c>
    </row>
    <row r="184" spans="1:1" x14ac:dyDescent="0.2">
      <c r="A184" s="1" t="s">
        <v>184</v>
      </c>
    </row>
    <row r="185" spans="1:1" x14ac:dyDescent="0.2">
      <c r="A185" s="1" t="s">
        <v>185</v>
      </c>
    </row>
    <row r="186" spans="1:1" x14ac:dyDescent="0.2">
      <c r="A186" s="1" t="s">
        <v>186</v>
      </c>
    </row>
    <row r="187" spans="1:1" x14ac:dyDescent="0.2">
      <c r="A187" s="1" t="s">
        <v>187</v>
      </c>
    </row>
    <row r="188" spans="1:1" x14ac:dyDescent="0.2">
      <c r="A188" s="1" t="s">
        <v>188</v>
      </c>
    </row>
    <row r="189" spans="1:1" x14ac:dyDescent="0.2">
      <c r="A189" s="1" t="s">
        <v>189</v>
      </c>
    </row>
    <row r="190" spans="1:1" x14ac:dyDescent="0.2">
      <c r="A190" s="1" t="s">
        <v>190</v>
      </c>
    </row>
    <row r="191" spans="1:1" x14ac:dyDescent="0.2">
      <c r="A191" s="1" t="s">
        <v>191</v>
      </c>
    </row>
    <row r="192" spans="1:1" x14ac:dyDescent="0.2">
      <c r="A192" s="1" t="s">
        <v>192</v>
      </c>
    </row>
    <row r="193" spans="1:1" x14ac:dyDescent="0.2">
      <c r="A193" s="1" t="s">
        <v>193</v>
      </c>
    </row>
    <row r="194" spans="1:1" x14ac:dyDescent="0.2">
      <c r="A194" s="1" t="s">
        <v>194</v>
      </c>
    </row>
    <row r="195" spans="1:1" x14ac:dyDescent="0.2">
      <c r="A195" s="1" t="s">
        <v>195</v>
      </c>
    </row>
    <row r="196" spans="1:1" x14ac:dyDescent="0.2">
      <c r="A196" s="1" t="s">
        <v>196</v>
      </c>
    </row>
    <row r="197" spans="1:1" x14ac:dyDescent="0.2">
      <c r="A197" s="1" t="s">
        <v>197</v>
      </c>
    </row>
    <row r="198" spans="1:1" x14ac:dyDescent="0.2">
      <c r="A198" s="1" t="s">
        <v>198</v>
      </c>
    </row>
    <row r="199" spans="1:1" x14ac:dyDescent="0.2">
      <c r="A199" s="1" t="s">
        <v>199</v>
      </c>
    </row>
    <row r="200" spans="1:1" x14ac:dyDescent="0.2">
      <c r="A200" s="1" t="s">
        <v>200</v>
      </c>
    </row>
    <row r="201" spans="1:1" x14ac:dyDescent="0.2">
      <c r="A201" s="1" t="s">
        <v>201</v>
      </c>
    </row>
    <row r="202" spans="1:1" x14ac:dyDescent="0.2">
      <c r="A202" s="1" t="s">
        <v>202</v>
      </c>
    </row>
    <row r="203" spans="1:1" x14ac:dyDescent="0.2">
      <c r="A203" s="1" t="s">
        <v>203</v>
      </c>
    </row>
    <row r="204" spans="1:1" x14ac:dyDescent="0.2">
      <c r="A204" s="1" t="s">
        <v>204</v>
      </c>
    </row>
    <row r="205" spans="1:1" x14ac:dyDescent="0.2">
      <c r="A205" s="1" t="s">
        <v>205</v>
      </c>
    </row>
    <row r="206" spans="1:1" x14ac:dyDescent="0.2">
      <c r="A206" s="1" t="s">
        <v>206</v>
      </c>
    </row>
    <row r="207" spans="1:1" x14ac:dyDescent="0.2">
      <c r="A207" s="1" t="s">
        <v>207</v>
      </c>
    </row>
    <row r="208" spans="1:1" x14ac:dyDescent="0.2">
      <c r="A208" s="1" t="s">
        <v>208</v>
      </c>
    </row>
    <row r="209" spans="1:1" x14ac:dyDescent="0.2">
      <c r="A209" s="1" t="s">
        <v>209</v>
      </c>
    </row>
    <row r="210" spans="1:1" x14ac:dyDescent="0.2">
      <c r="A210" s="1" t="s">
        <v>210</v>
      </c>
    </row>
    <row r="211" spans="1:1" x14ac:dyDescent="0.2">
      <c r="A211" s="1" t="s">
        <v>211</v>
      </c>
    </row>
    <row r="212" spans="1:1" x14ac:dyDescent="0.2">
      <c r="A212" s="1" t="s">
        <v>212</v>
      </c>
    </row>
    <row r="213" spans="1:1" x14ac:dyDescent="0.2">
      <c r="A213" s="1" t="s">
        <v>213</v>
      </c>
    </row>
    <row r="214" spans="1:1" x14ac:dyDescent="0.2">
      <c r="A214" s="1" t="s">
        <v>214</v>
      </c>
    </row>
    <row r="215" spans="1:1" x14ac:dyDescent="0.2">
      <c r="A215" s="1" t="s">
        <v>215</v>
      </c>
    </row>
    <row r="216" spans="1:1" x14ac:dyDescent="0.2">
      <c r="A216" s="1" t="s">
        <v>216</v>
      </c>
    </row>
    <row r="217" spans="1:1" x14ac:dyDescent="0.2">
      <c r="A217" s="1" t="s">
        <v>217</v>
      </c>
    </row>
    <row r="218" spans="1:1" x14ac:dyDescent="0.2">
      <c r="A218" s="1" t="s">
        <v>218</v>
      </c>
    </row>
    <row r="219" spans="1:1" x14ac:dyDescent="0.2">
      <c r="A219" s="1" t="s">
        <v>219</v>
      </c>
    </row>
    <row r="220" spans="1:1" x14ac:dyDescent="0.2">
      <c r="A220" s="1" t="s">
        <v>220</v>
      </c>
    </row>
    <row r="221" spans="1:1" x14ac:dyDescent="0.2">
      <c r="A221" s="1" t="s">
        <v>221</v>
      </c>
    </row>
    <row r="222" spans="1:1" x14ac:dyDescent="0.2">
      <c r="A222" s="1" t="s">
        <v>222</v>
      </c>
    </row>
    <row r="223" spans="1:1" x14ac:dyDescent="0.2">
      <c r="A223" s="1" t="s">
        <v>223</v>
      </c>
    </row>
    <row r="224" spans="1:1" x14ac:dyDescent="0.2">
      <c r="A224" s="1" t="s">
        <v>224</v>
      </c>
    </row>
    <row r="225" spans="1:1" x14ac:dyDescent="0.2">
      <c r="A225" s="1" t="s">
        <v>225</v>
      </c>
    </row>
    <row r="226" spans="1:1" x14ac:dyDescent="0.2">
      <c r="A226" s="1" t="s">
        <v>226</v>
      </c>
    </row>
    <row r="227" spans="1:1" x14ac:dyDescent="0.2">
      <c r="A227" s="1" t="s">
        <v>227</v>
      </c>
    </row>
    <row r="228" spans="1:1" x14ac:dyDescent="0.2">
      <c r="A228" s="1" t="s">
        <v>228</v>
      </c>
    </row>
    <row r="229" spans="1:1" x14ac:dyDescent="0.2">
      <c r="A229" s="1" t="s">
        <v>229</v>
      </c>
    </row>
    <row r="230" spans="1:1" x14ac:dyDescent="0.2">
      <c r="A230" s="1" t="s">
        <v>230</v>
      </c>
    </row>
    <row r="231" spans="1:1" x14ac:dyDescent="0.2">
      <c r="A231" s="1" t="s">
        <v>231</v>
      </c>
    </row>
    <row r="232" spans="1:1" x14ac:dyDescent="0.2">
      <c r="A232" s="1" t="s">
        <v>232</v>
      </c>
    </row>
    <row r="233" spans="1:1" x14ac:dyDescent="0.2">
      <c r="A233" s="1" t="s">
        <v>233</v>
      </c>
    </row>
    <row r="234" spans="1:1" x14ac:dyDescent="0.2">
      <c r="A234" s="1" t="s">
        <v>234</v>
      </c>
    </row>
    <row r="235" spans="1:1" x14ac:dyDescent="0.2">
      <c r="A235" s="1" t="s">
        <v>235</v>
      </c>
    </row>
    <row r="236" spans="1:1" x14ac:dyDescent="0.2">
      <c r="A236" s="1" t="s">
        <v>236</v>
      </c>
    </row>
    <row r="237" spans="1:1" x14ac:dyDescent="0.2">
      <c r="A237" s="1" t="s">
        <v>237</v>
      </c>
    </row>
    <row r="238" spans="1:1" x14ac:dyDescent="0.2">
      <c r="A238" s="1" t="s">
        <v>238</v>
      </c>
    </row>
    <row r="239" spans="1:1" x14ac:dyDescent="0.2">
      <c r="A239" s="1" t="s">
        <v>239</v>
      </c>
    </row>
    <row r="240" spans="1:1" x14ac:dyDescent="0.2">
      <c r="A240" s="1" t="s">
        <v>240</v>
      </c>
    </row>
    <row r="241" spans="1:1" x14ac:dyDescent="0.2">
      <c r="A241" s="1" t="s">
        <v>241</v>
      </c>
    </row>
    <row r="242" spans="1:1" x14ac:dyDescent="0.2">
      <c r="A242" s="1" t="s">
        <v>242</v>
      </c>
    </row>
    <row r="243" spans="1:1" x14ac:dyDescent="0.2">
      <c r="A243" s="1" t="s">
        <v>243</v>
      </c>
    </row>
    <row r="244" spans="1:1" x14ac:dyDescent="0.2">
      <c r="A244" s="1" t="s">
        <v>244</v>
      </c>
    </row>
    <row r="245" spans="1:1" x14ac:dyDescent="0.2">
      <c r="A245" s="1" t="s">
        <v>245</v>
      </c>
    </row>
    <row r="246" spans="1:1" x14ac:dyDescent="0.2">
      <c r="A246" s="1" t="s">
        <v>246</v>
      </c>
    </row>
    <row r="247" spans="1:1" x14ac:dyDescent="0.2">
      <c r="A247" s="1" t="s">
        <v>247</v>
      </c>
    </row>
    <row r="248" spans="1:1" x14ac:dyDescent="0.2">
      <c r="A248" s="1" t="s">
        <v>248</v>
      </c>
    </row>
    <row r="249" spans="1:1" x14ac:dyDescent="0.2">
      <c r="A249" s="1" t="s">
        <v>249</v>
      </c>
    </row>
    <row r="250" spans="1:1" x14ac:dyDescent="0.2">
      <c r="A250" s="1" t="s">
        <v>250</v>
      </c>
    </row>
    <row r="251" spans="1:1" x14ac:dyDescent="0.2">
      <c r="A251" s="1" t="s">
        <v>251</v>
      </c>
    </row>
    <row r="252" spans="1:1" x14ac:dyDescent="0.2">
      <c r="A252" s="1" t="s">
        <v>252</v>
      </c>
    </row>
    <row r="253" spans="1:1" x14ac:dyDescent="0.2">
      <c r="A253" s="1" t="s">
        <v>253</v>
      </c>
    </row>
    <row r="254" spans="1:1" x14ac:dyDescent="0.2">
      <c r="A254" s="1" t="s">
        <v>254</v>
      </c>
    </row>
    <row r="255" spans="1:1" x14ac:dyDescent="0.2">
      <c r="A255" s="1" t="s">
        <v>255</v>
      </c>
    </row>
    <row r="256" spans="1:1" x14ac:dyDescent="0.2">
      <c r="A256" s="1" t="s">
        <v>256</v>
      </c>
    </row>
    <row r="257" spans="1:1" x14ac:dyDescent="0.2">
      <c r="A257" s="1" t="s">
        <v>257</v>
      </c>
    </row>
    <row r="258" spans="1:1" x14ac:dyDescent="0.2">
      <c r="A258" s="1" t="s">
        <v>258</v>
      </c>
    </row>
    <row r="259" spans="1:1" x14ac:dyDescent="0.2">
      <c r="A259" s="1" t="s">
        <v>259</v>
      </c>
    </row>
    <row r="260" spans="1:1" x14ac:dyDescent="0.2">
      <c r="A260" s="1" t="s">
        <v>260</v>
      </c>
    </row>
    <row r="261" spans="1:1" x14ac:dyDescent="0.2">
      <c r="A261" s="1" t="s">
        <v>261</v>
      </c>
    </row>
    <row r="262" spans="1:1" x14ac:dyDescent="0.2">
      <c r="A262" s="1" t="s">
        <v>262</v>
      </c>
    </row>
    <row r="263" spans="1:1" x14ac:dyDescent="0.2">
      <c r="A263" s="1" t="s">
        <v>263</v>
      </c>
    </row>
    <row r="264" spans="1:1" x14ac:dyDescent="0.2">
      <c r="A264" s="1" t="s">
        <v>264</v>
      </c>
    </row>
    <row r="265" spans="1:1" x14ac:dyDescent="0.2">
      <c r="A265" s="1" t="s">
        <v>265</v>
      </c>
    </row>
    <row r="266" spans="1:1" x14ac:dyDescent="0.2">
      <c r="A266" s="1" t="s">
        <v>266</v>
      </c>
    </row>
    <row r="267" spans="1:1" x14ac:dyDescent="0.2">
      <c r="A267" s="1" t="s">
        <v>267</v>
      </c>
    </row>
    <row r="268" spans="1:1" x14ac:dyDescent="0.2">
      <c r="A268" s="1" t="s">
        <v>268</v>
      </c>
    </row>
    <row r="269" spans="1:1" x14ac:dyDescent="0.2">
      <c r="A269" s="1" t="s">
        <v>269</v>
      </c>
    </row>
    <row r="270" spans="1:1" x14ac:dyDescent="0.2">
      <c r="A270" s="1" t="s">
        <v>270</v>
      </c>
    </row>
    <row r="271" spans="1:1" x14ac:dyDescent="0.2">
      <c r="A271" s="1" t="s">
        <v>271</v>
      </c>
    </row>
    <row r="272" spans="1:1" x14ac:dyDescent="0.2">
      <c r="A272" s="1" t="s">
        <v>272</v>
      </c>
    </row>
    <row r="273" spans="1:1" x14ac:dyDescent="0.2">
      <c r="A273" s="1" t="s">
        <v>273</v>
      </c>
    </row>
    <row r="274" spans="1:1" x14ac:dyDescent="0.2">
      <c r="A274" s="1" t="s">
        <v>274</v>
      </c>
    </row>
    <row r="275" spans="1:1" x14ac:dyDescent="0.2">
      <c r="A275" s="1" t="s">
        <v>275</v>
      </c>
    </row>
    <row r="276" spans="1:1" x14ac:dyDescent="0.2">
      <c r="A276" s="1" t="s">
        <v>276</v>
      </c>
    </row>
    <row r="277" spans="1:1" x14ac:dyDescent="0.2">
      <c r="A277" s="1" t="s">
        <v>277</v>
      </c>
    </row>
    <row r="278" spans="1:1" x14ac:dyDescent="0.2">
      <c r="A278" s="1" t="s">
        <v>278</v>
      </c>
    </row>
    <row r="279" spans="1:1" x14ac:dyDescent="0.2">
      <c r="A279" s="1" t="s">
        <v>279</v>
      </c>
    </row>
    <row r="280" spans="1:1" x14ac:dyDescent="0.2">
      <c r="A280" s="1" t="s">
        <v>280</v>
      </c>
    </row>
    <row r="281" spans="1:1" x14ac:dyDescent="0.2">
      <c r="A281" s="1" t="s">
        <v>281</v>
      </c>
    </row>
    <row r="282" spans="1:1" x14ac:dyDescent="0.2">
      <c r="A282" s="1" t="s">
        <v>282</v>
      </c>
    </row>
    <row r="283" spans="1:1" x14ac:dyDescent="0.2">
      <c r="A283" s="1" t="s">
        <v>283</v>
      </c>
    </row>
    <row r="284" spans="1:1" x14ac:dyDescent="0.2">
      <c r="A284" s="1" t="s">
        <v>284</v>
      </c>
    </row>
    <row r="285" spans="1:1" x14ac:dyDescent="0.2">
      <c r="A285" s="1" t="s">
        <v>285</v>
      </c>
    </row>
    <row r="286" spans="1:1" x14ac:dyDescent="0.2">
      <c r="A286" s="1" t="s">
        <v>286</v>
      </c>
    </row>
    <row r="287" spans="1:1" x14ac:dyDescent="0.2">
      <c r="A287" s="1" t="s">
        <v>287</v>
      </c>
    </row>
    <row r="288" spans="1:1" x14ac:dyDescent="0.2">
      <c r="A288" s="1" t="s">
        <v>288</v>
      </c>
    </row>
    <row r="289" spans="1:1" x14ac:dyDescent="0.2">
      <c r="A289" s="1" t="s">
        <v>289</v>
      </c>
    </row>
    <row r="290" spans="1:1" x14ac:dyDescent="0.2">
      <c r="A290" s="1" t="s">
        <v>290</v>
      </c>
    </row>
    <row r="291" spans="1:1" x14ac:dyDescent="0.2">
      <c r="A291" s="1" t="s">
        <v>291</v>
      </c>
    </row>
    <row r="292" spans="1:1" x14ac:dyDescent="0.2">
      <c r="A292" s="1" t="s">
        <v>292</v>
      </c>
    </row>
    <row r="293" spans="1:1" x14ac:dyDescent="0.2">
      <c r="A293" s="1" t="s">
        <v>293</v>
      </c>
    </row>
    <row r="294" spans="1:1" x14ac:dyDescent="0.2">
      <c r="A294" s="1" t="s">
        <v>294</v>
      </c>
    </row>
    <row r="295" spans="1:1" x14ac:dyDescent="0.2">
      <c r="A295" s="1" t="s">
        <v>295</v>
      </c>
    </row>
    <row r="296" spans="1:1" x14ac:dyDescent="0.2">
      <c r="A296" s="1" t="s">
        <v>296</v>
      </c>
    </row>
    <row r="297" spans="1:1" x14ac:dyDescent="0.2">
      <c r="A297" s="1" t="s">
        <v>297</v>
      </c>
    </row>
    <row r="298" spans="1:1" x14ac:dyDescent="0.2">
      <c r="A298" s="1" t="s">
        <v>298</v>
      </c>
    </row>
    <row r="299" spans="1:1" x14ac:dyDescent="0.2">
      <c r="A299" s="1" t="s">
        <v>299</v>
      </c>
    </row>
    <row r="300" spans="1:1" x14ac:dyDescent="0.2">
      <c r="A300" s="1" t="s">
        <v>300</v>
      </c>
    </row>
    <row r="301" spans="1:1" x14ac:dyDescent="0.2">
      <c r="A301" s="1" t="s">
        <v>301</v>
      </c>
    </row>
    <row r="302" spans="1:1" x14ac:dyDescent="0.2">
      <c r="A302" s="1" t="s">
        <v>302</v>
      </c>
    </row>
    <row r="303" spans="1:1" x14ac:dyDescent="0.2">
      <c r="A303" s="1" t="s">
        <v>303</v>
      </c>
    </row>
    <row r="304" spans="1:1" x14ac:dyDescent="0.2">
      <c r="A304" s="1" t="s">
        <v>304</v>
      </c>
    </row>
    <row r="305" spans="1:1" x14ac:dyDescent="0.2">
      <c r="A305" s="1" t="s">
        <v>305</v>
      </c>
    </row>
    <row r="306" spans="1:1" x14ac:dyDescent="0.2">
      <c r="A306" s="1" t="s">
        <v>306</v>
      </c>
    </row>
    <row r="307" spans="1:1" x14ac:dyDescent="0.2">
      <c r="A307" s="1" t="s">
        <v>307</v>
      </c>
    </row>
    <row r="308" spans="1:1" x14ac:dyDescent="0.2">
      <c r="A308" s="1" t="s">
        <v>308</v>
      </c>
    </row>
    <row r="309" spans="1:1" x14ac:dyDescent="0.2">
      <c r="A309" s="1" t="s">
        <v>309</v>
      </c>
    </row>
    <row r="310" spans="1:1" x14ac:dyDescent="0.2">
      <c r="A310" s="1" t="s">
        <v>310</v>
      </c>
    </row>
    <row r="311" spans="1:1" x14ac:dyDescent="0.2">
      <c r="A311" s="1" t="s">
        <v>311</v>
      </c>
    </row>
    <row r="312" spans="1:1" x14ac:dyDescent="0.2">
      <c r="A312" s="1" t="s">
        <v>312</v>
      </c>
    </row>
    <row r="313" spans="1:1" x14ac:dyDescent="0.2">
      <c r="A313" s="1" t="s">
        <v>313</v>
      </c>
    </row>
    <row r="314" spans="1:1" x14ac:dyDescent="0.2">
      <c r="A314" s="1" t="s">
        <v>314</v>
      </c>
    </row>
    <row r="315" spans="1:1" x14ac:dyDescent="0.2">
      <c r="A315" s="1" t="s">
        <v>315</v>
      </c>
    </row>
    <row r="316" spans="1:1" x14ac:dyDescent="0.2">
      <c r="A316" s="1" t="s">
        <v>316</v>
      </c>
    </row>
    <row r="317" spans="1:1" x14ac:dyDescent="0.2">
      <c r="A317" s="1" t="s">
        <v>317</v>
      </c>
    </row>
    <row r="318" spans="1:1" x14ac:dyDescent="0.2">
      <c r="A318" s="1" t="s">
        <v>318</v>
      </c>
    </row>
    <row r="319" spans="1:1" x14ac:dyDescent="0.2">
      <c r="A319" s="1" t="s">
        <v>319</v>
      </c>
    </row>
    <row r="320" spans="1:1" x14ac:dyDescent="0.2">
      <c r="A320" s="1" t="s">
        <v>320</v>
      </c>
    </row>
    <row r="321" spans="1:1" x14ac:dyDescent="0.2">
      <c r="A321" s="1" t="s">
        <v>321</v>
      </c>
    </row>
    <row r="322" spans="1:1" x14ac:dyDescent="0.2">
      <c r="A322" s="1" t="s">
        <v>322</v>
      </c>
    </row>
    <row r="323" spans="1:1" x14ac:dyDescent="0.2">
      <c r="A323" s="1" t="s">
        <v>323</v>
      </c>
    </row>
    <row r="324" spans="1:1" x14ac:dyDescent="0.2">
      <c r="A324" s="1" t="s">
        <v>324</v>
      </c>
    </row>
    <row r="325" spans="1:1" x14ac:dyDescent="0.2">
      <c r="A325" s="1" t="s">
        <v>325</v>
      </c>
    </row>
    <row r="326" spans="1:1" x14ac:dyDescent="0.2">
      <c r="A326" s="1" t="s">
        <v>326</v>
      </c>
    </row>
    <row r="327" spans="1:1" x14ac:dyDescent="0.2">
      <c r="A327" s="1" t="s">
        <v>327</v>
      </c>
    </row>
    <row r="328" spans="1:1" x14ac:dyDescent="0.2">
      <c r="A328" s="1" t="s">
        <v>328</v>
      </c>
    </row>
    <row r="329" spans="1:1" x14ac:dyDescent="0.2">
      <c r="A329" s="1" t="s">
        <v>329</v>
      </c>
    </row>
    <row r="330" spans="1:1" x14ac:dyDescent="0.2">
      <c r="A330" s="1" t="s">
        <v>330</v>
      </c>
    </row>
    <row r="331" spans="1:1" x14ac:dyDescent="0.2">
      <c r="A331" s="1" t="s">
        <v>331</v>
      </c>
    </row>
    <row r="332" spans="1:1" x14ac:dyDescent="0.2">
      <c r="A332" s="1" t="s">
        <v>332</v>
      </c>
    </row>
    <row r="333" spans="1:1" x14ac:dyDescent="0.2">
      <c r="A333" s="1" t="s">
        <v>333</v>
      </c>
    </row>
    <row r="334" spans="1:1" x14ac:dyDescent="0.2">
      <c r="A334" s="1" t="s">
        <v>334</v>
      </c>
    </row>
    <row r="335" spans="1:1" x14ac:dyDescent="0.2">
      <c r="A335" s="1" t="s">
        <v>335</v>
      </c>
    </row>
    <row r="336" spans="1:1" x14ac:dyDescent="0.2">
      <c r="A336" s="1" t="s">
        <v>336</v>
      </c>
    </row>
    <row r="337" spans="1:1" x14ac:dyDescent="0.2">
      <c r="A337" s="1" t="s">
        <v>337</v>
      </c>
    </row>
    <row r="338" spans="1:1" x14ac:dyDescent="0.2">
      <c r="A338" s="1" t="s">
        <v>338</v>
      </c>
    </row>
    <row r="339" spans="1:1" x14ac:dyDescent="0.2">
      <c r="A339" s="1" t="s">
        <v>339</v>
      </c>
    </row>
    <row r="340" spans="1:1" x14ac:dyDescent="0.2">
      <c r="A340" s="1" t="s">
        <v>340</v>
      </c>
    </row>
    <row r="341" spans="1:1" x14ac:dyDescent="0.2">
      <c r="A341" s="1" t="s">
        <v>341</v>
      </c>
    </row>
    <row r="342" spans="1:1" x14ac:dyDescent="0.2">
      <c r="A342" s="1" t="s">
        <v>342</v>
      </c>
    </row>
    <row r="343" spans="1:1" x14ac:dyDescent="0.2">
      <c r="A343" s="1" t="s">
        <v>343</v>
      </c>
    </row>
    <row r="344" spans="1:1" x14ac:dyDescent="0.2">
      <c r="A344" s="1" t="s">
        <v>344</v>
      </c>
    </row>
    <row r="345" spans="1:1" x14ac:dyDescent="0.2">
      <c r="A345" s="1" t="s">
        <v>345</v>
      </c>
    </row>
    <row r="346" spans="1:1" x14ac:dyDescent="0.2">
      <c r="A346" s="1" t="s">
        <v>346</v>
      </c>
    </row>
    <row r="347" spans="1:1" x14ac:dyDescent="0.2">
      <c r="A347" s="1" t="s">
        <v>347</v>
      </c>
    </row>
    <row r="348" spans="1:1" x14ac:dyDescent="0.2">
      <c r="A348" s="1" t="s">
        <v>348</v>
      </c>
    </row>
    <row r="349" spans="1:1" x14ac:dyDescent="0.2">
      <c r="A349" s="1" t="s">
        <v>349</v>
      </c>
    </row>
    <row r="350" spans="1:1" x14ac:dyDescent="0.2">
      <c r="A350" s="1" t="s">
        <v>350</v>
      </c>
    </row>
    <row r="351" spans="1:1" x14ac:dyDescent="0.2">
      <c r="A351" s="1" t="s">
        <v>351</v>
      </c>
    </row>
    <row r="352" spans="1:1" x14ac:dyDescent="0.2">
      <c r="A352" s="1" t="s">
        <v>352</v>
      </c>
    </row>
    <row r="353" spans="1:1" x14ac:dyDescent="0.2">
      <c r="A353" s="1" t="s">
        <v>353</v>
      </c>
    </row>
    <row r="354" spans="1:1" x14ac:dyDescent="0.2">
      <c r="A354" s="1" t="s">
        <v>354</v>
      </c>
    </row>
    <row r="355" spans="1:1" x14ac:dyDescent="0.2">
      <c r="A355" s="1" t="s">
        <v>355</v>
      </c>
    </row>
    <row r="356" spans="1:1" x14ac:dyDescent="0.2">
      <c r="A356" s="1" t="s">
        <v>356</v>
      </c>
    </row>
    <row r="357" spans="1:1" x14ac:dyDescent="0.2">
      <c r="A357" s="1" t="s">
        <v>357</v>
      </c>
    </row>
    <row r="358" spans="1:1" x14ac:dyDescent="0.2">
      <c r="A358" s="1" t="s">
        <v>358</v>
      </c>
    </row>
    <row r="359" spans="1:1" x14ac:dyDescent="0.2">
      <c r="A359" s="1" t="s">
        <v>359</v>
      </c>
    </row>
    <row r="360" spans="1:1" x14ac:dyDescent="0.2">
      <c r="A360" s="1" t="s">
        <v>360</v>
      </c>
    </row>
    <row r="361" spans="1:1" x14ac:dyDescent="0.2">
      <c r="A361" s="1" t="s">
        <v>361</v>
      </c>
    </row>
    <row r="362" spans="1:1" x14ac:dyDescent="0.2">
      <c r="A362" s="1" t="s">
        <v>362</v>
      </c>
    </row>
    <row r="363" spans="1:1" x14ac:dyDescent="0.2">
      <c r="A363" s="1" t="s">
        <v>363</v>
      </c>
    </row>
    <row r="364" spans="1:1" x14ac:dyDescent="0.2">
      <c r="A364" s="1" t="s">
        <v>364</v>
      </c>
    </row>
    <row r="365" spans="1:1" x14ac:dyDescent="0.2">
      <c r="A365" s="1" t="s">
        <v>365</v>
      </c>
    </row>
    <row r="366" spans="1:1" x14ac:dyDescent="0.2">
      <c r="A366" s="1" t="s">
        <v>366</v>
      </c>
    </row>
    <row r="367" spans="1:1" x14ac:dyDescent="0.2">
      <c r="A367" s="1" t="s">
        <v>367</v>
      </c>
    </row>
    <row r="368" spans="1:1" x14ac:dyDescent="0.2">
      <c r="A368" s="1" t="s">
        <v>368</v>
      </c>
    </row>
    <row r="369" spans="1:1" x14ac:dyDescent="0.2">
      <c r="A369" s="1" t="s">
        <v>369</v>
      </c>
    </row>
    <row r="370" spans="1:1" x14ac:dyDescent="0.2">
      <c r="A370" s="1" t="s">
        <v>370</v>
      </c>
    </row>
    <row r="371" spans="1:1" x14ac:dyDescent="0.2">
      <c r="A371" s="1" t="s">
        <v>371</v>
      </c>
    </row>
    <row r="372" spans="1:1" x14ac:dyDescent="0.2">
      <c r="A372" s="1" t="s">
        <v>372</v>
      </c>
    </row>
    <row r="373" spans="1:1" x14ac:dyDescent="0.2">
      <c r="A373" s="1" t="s">
        <v>373</v>
      </c>
    </row>
    <row r="374" spans="1:1" x14ac:dyDescent="0.2">
      <c r="A374" s="1" t="s">
        <v>374</v>
      </c>
    </row>
    <row r="375" spans="1:1" x14ac:dyDescent="0.2">
      <c r="A375" s="1" t="s">
        <v>375</v>
      </c>
    </row>
    <row r="376" spans="1:1" x14ac:dyDescent="0.2">
      <c r="A376" s="1" t="s">
        <v>376</v>
      </c>
    </row>
    <row r="377" spans="1:1" x14ac:dyDescent="0.2">
      <c r="A377" s="1" t="s">
        <v>377</v>
      </c>
    </row>
    <row r="378" spans="1:1" x14ac:dyDescent="0.2">
      <c r="A378" s="1" t="s">
        <v>378</v>
      </c>
    </row>
    <row r="379" spans="1:1" x14ac:dyDescent="0.2">
      <c r="A379" s="1" t="s">
        <v>379</v>
      </c>
    </row>
    <row r="380" spans="1:1" x14ac:dyDescent="0.2">
      <c r="A380" s="1" t="s">
        <v>380</v>
      </c>
    </row>
    <row r="381" spans="1:1" x14ac:dyDescent="0.2">
      <c r="A381" s="1" t="s">
        <v>381</v>
      </c>
    </row>
    <row r="382" spans="1:1" x14ac:dyDescent="0.2">
      <c r="A382" s="1" t="s">
        <v>382</v>
      </c>
    </row>
    <row r="383" spans="1:1" x14ac:dyDescent="0.2">
      <c r="A383" s="1" t="s">
        <v>383</v>
      </c>
    </row>
    <row r="384" spans="1:1" x14ac:dyDescent="0.2">
      <c r="A384" s="1" t="s">
        <v>384</v>
      </c>
    </row>
    <row r="385" spans="1:1" x14ac:dyDescent="0.2">
      <c r="A385" s="1" t="s">
        <v>385</v>
      </c>
    </row>
    <row r="386" spans="1:1" x14ac:dyDescent="0.2">
      <c r="A386" s="1" t="s">
        <v>386</v>
      </c>
    </row>
    <row r="387" spans="1:1" x14ac:dyDescent="0.2">
      <c r="A387" s="1" t="s">
        <v>387</v>
      </c>
    </row>
    <row r="388" spans="1:1" x14ac:dyDescent="0.2">
      <c r="A388" s="1" t="s">
        <v>388</v>
      </c>
    </row>
    <row r="389" spans="1:1" x14ac:dyDescent="0.2">
      <c r="A389" s="1" t="s">
        <v>389</v>
      </c>
    </row>
    <row r="390" spans="1:1" x14ac:dyDescent="0.2">
      <c r="A390" s="1" t="s">
        <v>390</v>
      </c>
    </row>
    <row r="391" spans="1:1" x14ac:dyDescent="0.2">
      <c r="A391" s="1" t="s">
        <v>391</v>
      </c>
    </row>
    <row r="392" spans="1:1" x14ac:dyDescent="0.2">
      <c r="A392" s="1" t="s">
        <v>392</v>
      </c>
    </row>
    <row r="393" spans="1:1" x14ac:dyDescent="0.2">
      <c r="A393" s="1" t="s">
        <v>393</v>
      </c>
    </row>
    <row r="394" spans="1:1" x14ac:dyDescent="0.2">
      <c r="A394" s="1" t="s">
        <v>394</v>
      </c>
    </row>
    <row r="395" spans="1:1" x14ac:dyDescent="0.2">
      <c r="A395" s="1" t="s">
        <v>395</v>
      </c>
    </row>
    <row r="396" spans="1:1" x14ac:dyDescent="0.2">
      <c r="A396" s="1" t="s">
        <v>396</v>
      </c>
    </row>
    <row r="397" spans="1:1" x14ac:dyDescent="0.2">
      <c r="A397" s="1" t="s">
        <v>397</v>
      </c>
    </row>
    <row r="398" spans="1:1" x14ac:dyDescent="0.2">
      <c r="A398" s="1" t="s">
        <v>398</v>
      </c>
    </row>
    <row r="399" spans="1:1" x14ac:dyDescent="0.2">
      <c r="A399" s="1" t="s">
        <v>399</v>
      </c>
    </row>
    <row r="400" spans="1:1" x14ac:dyDescent="0.2">
      <c r="A400" s="1" t="s">
        <v>400</v>
      </c>
    </row>
    <row r="401" spans="1:1" x14ac:dyDescent="0.2">
      <c r="A401" s="1" t="s">
        <v>401</v>
      </c>
    </row>
    <row r="402" spans="1:1" x14ac:dyDescent="0.2">
      <c r="A402" s="1" t="s">
        <v>402</v>
      </c>
    </row>
    <row r="403" spans="1:1" x14ac:dyDescent="0.2">
      <c r="A403" s="1" t="s">
        <v>403</v>
      </c>
    </row>
    <row r="404" spans="1:1" x14ac:dyDescent="0.2">
      <c r="A404" s="1" t="s">
        <v>404</v>
      </c>
    </row>
    <row r="405" spans="1:1" x14ac:dyDescent="0.2">
      <c r="A405" s="1" t="s">
        <v>405</v>
      </c>
    </row>
    <row r="406" spans="1:1" x14ac:dyDescent="0.2">
      <c r="A406" s="1" t="s">
        <v>406</v>
      </c>
    </row>
    <row r="407" spans="1:1" x14ac:dyDescent="0.2">
      <c r="A407" s="1" t="s">
        <v>407</v>
      </c>
    </row>
    <row r="408" spans="1:1" x14ac:dyDescent="0.2">
      <c r="A408" s="1" t="s">
        <v>408</v>
      </c>
    </row>
    <row r="409" spans="1:1" x14ac:dyDescent="0.2">
      <c r="A409" s="1" t="s">
        <v>409</v>
      </c>
    </row>
    <row r="410" spans="1:1" x14ac:dyDescent="0.2">
      <c r="A410" s="1" t="s">
        <v>410</v>
      </c>
    </row>
    <row r="411" spans="1:1" x14ac:dyDescent="0.2">
      <c r="A411" s="1" t="s">
        <v>411</v>
      </c>
    </row>
    <row r="412" spans="1:1" x14ac:dyDescent="0.2">
      <c r="A412" s="1" t="s">
        <v>412</v>
      </c>
    </row>
    <row r="413" spans="1:1" x14ac:dyDescent="0.2">
      <c r="A413" s="1" t="s">
        <v>413</v>
      </c>
    </row>
    <row r="414" spans="1:1" x14ac:dyDescent="0.2">
      <c r="A414" s="1" t="s">
        <v>414</v>
      </c>
    </row>
    <row r="415" spans="1:1" x14ac:dyDescent="0.2">
      <c r="A415" s="1" t="s">
        <v>415</v>
      </c>
    </row>
    <row r="416" spans="1:1" x14ac:dyDescent="0.2">
      <c r="A416" s="1" t="s">
        <v>416</v>
      </c>
    </row>
    <row r="417" spans="1:1" x14ac:dyDescent="0.2">
      <c r="A417" s="1" t="s">
        <v>417</v>
      </c>
    </row>
    <row r="418" spans="1:1" x14ac:dyDescent="0.2">
      <c r="A418" s="1" t="s">
        <v>418</v>
      </c>
    </row>
    <row r="419" spans="1:1" x14ac:dyDescent="0.2">
      <c r="A419" s="1" t="s">
        <v>419</v>
      </c>
    </row>
    <row r="420" spans="1:1" x14ac:dyDescent="0.2">
      <c r="A420" s="1" t="s">
        <v>420</v>
      </c>
    </row>
    <row r="421" spans="1:1" x14ac:dyDescent="0.2">
      <c r="A421" s="1" t="s">
        <v>421</v>
      </c>
    </row>
    <row r="422" spans="1:1" x14ac:dyDescent="0.2">
      <c r="A422" s="1" t="s">
        <v>422</v>
      </c>
    </row>
    <row r="423" spans="1:1" x14ac:dyDescent="0.2">
      <c r="A423" s="1" t="s">
        <v>423</v>
      </c>
    </row>
    <row r="424" spans="1:1" x14ac:dyDescent="0.2">
      <c r="A424" s="1" t="s">
        <v>424</v>
      </c>
    </row>
    <row r="425" spans="1:1" x14ac:dyDescent="0.2">
      <c r="A425" s="1" t="s">
        <v>425</v>
      </c>
    </row>
    <row r="426" spans="1:1" x14ac:dyDescent="0.2">
      <c r="A426" s="1" t="s">
        <v>426</v>
      </c>
    </row>
    <row r="427" spans="1:1" x14ac:dyDescent="0.2">
      <c r="A427" s="1" t="s">
        <v>427</v>
      </c>
    </row>
    <row r="428" spans="1:1" x14ac:dyDescent="0.2">
      <c r="A428" s="1" t="s">
        <v>428</v>
      </c>
    </row>
    <row r="429" spans="1:1" x14ac:dyDescent="0.2">
      <c r="A429" s="1" t="s">
        <v>429</v>
      </c>
    </row>
    <row r="430" spans="1:1" x14ac:dyDescent="0.2">
      <c r="A430" s="1" t="s">
        <v>430</v>
      </c>
    </row>
    <row r="431" spans="1:1" x14ac:dyDescent="0.2">
      <c r="A431" s="1" t="s">
        <v>431</v>
      </c>
    </row>
    <row r="432" spans="1:1" x14ac:dyDescent="0.2">
      <c r="A432" s="1" t="s">
        <v>432</v>
      </c>
    </row>
    <row r="433" spans="1:1" x14ac:dyDescent="0.2">
      <c r="A433" s="1" t="s">
        <v>433</v>
      </c>
    </row>
    <row r="434" spans="1:1" x14ac:dyDescent="0.2">
      <c r="A434" s="1" t="s">
        <v>434</v>
      </c>
    </row>
    <row r="435" spans="1:1" x14ac:dyDescent="0.2">
      <c r="A435" s="1" t="s">
        <v>435</v>
      </c>
    </row>
    <row r="436" spans="1:1" x14ac:dyDescent="0.2">
      <c r="A436" s="1" t="s">
        <v>436</v>
      </c>
    </row>
    <row r="437" spans="1:1" x14ac:dyDescent="0.2">
      <c r="A437" s="1" t="s">
        <v>437</v>
      </c>
    </row>
    <row r="438" spans="1:1" x14ac:dyDescent="0.2">
      <c r="A438" s="1" t="s">
        <v>438</v>
      </c>
    </row>
    <row r="439" spans="1:1" x14ac:dyDescent="0.2">
      <c r="A439" s="1" t="s">
        <v>439</v>
      </c>
    </row>
    <row r="440" spans="1:1" x14ac:dyDescent="0.2">
      <c r="A440" s="1" t="s">
        <v>440</v>
      </c>
    </row>
    <row r="441" spans="1:1" x14ac:dyDescent="0.2">
      <c r="A441" s="1" t="s">
        <v>441</v>
      </c>
    </row>
    <row r="442" spans="1:1" x14ac:dyDescent="0.2">
      <c r="A442" s="1" t="s">
        <v>442</v>
      </c>
    </row>
    <row r="443" spans="1:1" x14ac:dyDescent="0.2">
      <c r="A443" s="1" t="s">
        <v>443</v>
      </c>
    </row>
    <row r="444" spans="1:1" x14ac:dyDescent="0.2">
      <c r="A444" s="1" t="s">
        <v>444</v>
      </c>
    </row>
    <row r="445" spans="1:1" x14ac:dyDescent="0.2">
      <c r="A445" s="1" t="s">
        <v>445</v>
      </c>
    </row>
    <row r="446" spans="1:1" x14ac:dyDescent="0.2">
      <c r="A446" s="1" t="s">
        <v>446</v>
      </c>
    </row>
    <row r="447" spans="1:1" x14ac:dyDescent="0.2">
      <c r="A447" s="1" t="s">
        <v>447</v>
      </c>
    </row>
    <row r="448" spans="1:1" x14ac:dyDescent="0.2">
      <c r="A448" s="1" t="s">
        <v>448</v>
      </c>
    </row>
    <row r="449" spans="1:1" x14ac:dyDescent="0.2">
      <c r="A449" s="1" t="s">
        <v>449</v>
      </c>
    </row>
    <row r="450" spans="1:1" x14ac:dyDescent="0.2">
      <c r="A450" s="1" t="s">
        <v>450</v>
      </c>
    </row>
    <row r="451" spans="1:1" x14ac:dyDescent="0.2">
      <c r="A451" s="1" t="s">
        <v>451</v>
      </c>
    </row>
    <row r="452" spans="1:1" x14ac:dyDescent="0.2">
      <c r="A452" s="1" t="s">
        <v>452</v>
      </c>
    </row>
    <row r="453" spans="1:1" x14ac:dyDescent="0.2">
      <c r="A453" s="1" t="s">
        <v>453</v>
      </c>
    </row>
    <row r="454" spans="1:1" x14ac:dyDescent="0.2">
      <c r="A454" s="1" t="s">
        <v>454</v>
      </c>
    </row>
    <row r="455" spans="1:1" x14ac:dyDescent="0.2">
      <c r="A455" s="1" t="s">
        <v>455</v>
      </c>
    </row>
    <row r="456" spans="1:1" x14ac:dyDescent="0.2">
      <c r="A456" s="1" t="s">
        <v>456</v>
      </c>
    </row>
    <row r="457" spans="1:1" x14ac:dyDescent="0.2">
      <c r="A457" s="1" t="s">
        <v>457</v>
      </c>
    </row>
    <row r="458" spans="1:1" x14ac:dyDescent="0.2">
      <c r="A458" s="1" t="s">
        <v>458</v>
      </c>
    </row>
    <row r="459" spans="1:1" x14ac:dyDescent="0.2">
      <c r="A459" s="1" t="s">
        <v>459</v>
      </c>
    </row>
    <row r="460" spans="1:1" x14ac:dyDescent="0.2">
      <c r="A460" s="1" t="s">
        <v>460</v>
      </c>
    </row>
    <row r="461" spans="1:1" x14ac:dyDescent="0.2">
      <c r="A461" s="1" t="s">
        <v>461</v>
      </c>
    </row>
    <row r="462" spans="1:1" x14ac:dyDescent="0.2">
      <c r="A462" s="1" t="s">
        <v>462</v>
      </c>
    </row>
    <row r="463" spans="1:1" x14ac:dyDescent="0.2">
      <c r="A463" s="1" t="s">
        <v>463</v>
      </c>
    </row>
    <row r="464" spans="1:1" x14ac:dyDescent="0.2">
      <c r="A464" s="1" t="s">
        <v>464</v>
      </c>
    </row>
    <row r="465" spans="1:1" x14ac:dyDescent="0.2">
      <c r="A465" s="1" t="s">
        <v>465</v>
      </c>
    </row>
    <row r="466" spans="1:1" x14ac:dyDescent="0.2">
      <c r="A466" s="1" t="s">
        <v>466</v>
      </c>
    </row>
    <row r="467" spans="1:1" x14ac:dyDescent="0.2">
      <c r="A467" s="1" t="s">
        <v>467</v>
      </c>
    </row>
    <row r="468" spans="1:1" x14ac:dyDescent="0.2">
      <c r="A468" s="1" t="s">
        <v>468</v>
      </c>
    </row>
    <row r="469" spans="1:1" x14ac:dyDescent="0.2">
      <c r="A469" s="1" t="s">
        <v>469</v>
      </c>
    </row>
    <row r="470" spans="1:1" x14ac:dyDescent="0.2">
      <c r="A470" s="1" t="s">
        <v>470</v>
      </c>
    </row>
    <row r="471" spans="1:1" x14ac:dyDescent="0.2">
      <c r="A471" s="1" t="s">
        <v>471</v>
      </c>
    </row>
    <row r="472" spans="1:1" x14ac:dyDescent="0.2">
      <c r="A472" s="1" t="s">
        <v>472</v>
      </c>
    </row>
    <row r="473" spans="1:1" x14ac:dyDescent="0.2">
      <c r="A473" s="1" t="s">
        <v>473</v>
      </c>
    </row>
    <row r="474" spans="1:1" x14ac:dyDescent="0.2">
      <c r="A474" s="1" t="s">
        <v>474</v>
      </c>
    </row>
    <row r="475" spans="1:1" x14ac:dyDescent="0.2">
      <c r="A475" s="1" t="s">
        <v>475</v>
      </c>
    </row>
    <row r="476" spans="1:1" x14ac:dyDescent="0.2">
      <c r="A476" s="1" t="s">
        <v>476</v>
      </c>
    </row>
    <row r="477" spans="1:1" x14ac:dyDescent="0.2">
      <c r="A477" s="1" t="s">
        <v>477</v>
      </c>
    </row>
    <row r="478" spans="1:1" x14ac:dyDescent="0.2">
      <c r="A478" s="1" t="s">
        <v>478</v>
      </c>
    </row>
    <row r="479" spans="1:1" x14ac:dyDescent="0.2">
      <c r="A479" s="1" t="s">
        <v>479</v>
      </c>
    </row>
    <row r="480" spans="1:1" x14ac:dyDescent="0.2">
      <c r="A480" s="1" t="s">
        <v>480</v>
      </c>
    </row>
    <row r="481" spans="1:1" x14ac:dyDescent="0.2">
      <c r="A481" s="1" t="s">
        <v>481</v>
      </c>
    </row>
    <row r="482" spans="1:1" x14ac:dyDescent="0.2">
      <c r="A482" s="1" t="s">
        <v>482</v>
      </c>
    </row>
    <row r="483" spans="1:1" x14ac:dyDescent="0.2">
      <c r="A483" s="1" t="s">
        <v>483</v>
      </c>
    </row>
    <row r="484" spans="1:1" x14ac:dyDescent="0.2">
      <c r="A484" s="1" t="s">
        <v>484</v>
      </c>
    </row>
    <row r="485" spans="1:1" x14ac:dyDescent="0.2">
      <c r="A485" s="1" t="s">
        <v>485</v>
      </c>
    </row>
    <row r="486" spans="1:1" x14ac:dyDescent="0.2">
      <c r="A486" s="1" t="s">
        <v>486</v>
      </c>
    </row>
    <row r="487" spans="1:1" x14ac:dyDescent="0.2">
      <c r="A487" s="1" t="s">
        <v>487</v>
      </c>
    </row>
    <row r="488" spans="1:1" x14ac:dyDescent="0.2">
      <c r="A488" s="1" t="s">
        <v>488</v>
      </c>
    </row>
    <row r="489" spans="1:1" x14ac:dyDescent="0.2">
      <c r="A489" s="1" t="s">
        <v>489</v>
      </c>
    </row>
    <row r="490" spans="1:1" x14ac:dyDescent="0.2">
      <c r="A490" s="1" t="s">
        <v>490</v>
      </c>
    </row>
    <row r="491" spans="1:1" x14ac:dyDescent="0.2">
      <c r="A491" s="1" t="s">
        <v>491</v>
      </c>
    </row>
    <row r="492" spans="1:1" x14ac:dyDescent="0.2">
      <c r="A492" s="1" t="s">
        <v>492</v>
      </c>
    </row>
    <row r="493" spans="1:1" x14ac:dyDescent="0.2">
      <c r="A493" s="1" t="s">
        <v>493</v>
      </c>
    </row>
    <row r="494" spans="1:1" x14ac:dyDescent="0.2">
      <c r="A494" s="1" t="s">
        <v>494</v>
      </c>
    </row>
    <row r="495" spans="1:1" x14ac:dyDescent="0.2">
      <c r="A495" s="1" t="s">
        <v>495</v>
      </c>
    </row>
    <row r="496" spans="1:1" x14ac:dyDescent="0.2">
      <c r="A496" s="1" t="s">
        <v>496</v>
      </c>
    </row>
    <row r="497" spans="1:1" x14ac:dyDescent="0.2">
      <c r="A497" s="1" t="s">
        <v>497</v>
      </c>
    </row>
    <row r="498" spans="1:1" x14ac:dyDescent="0.2">
      <c r="A498" s="1" t="s">
        <v>498</v>
      </c>
    </row>
    <row r="499" spans="1:1" x14ac:dyDescent="0.2">
      <c r="A499" s="1" t="s">
        <v>499</v>
      </c>
    </row>
    <row r="500" spans="1:1" x14ac:dyDescent="0.2">
      <c r="A500" s="1" t="s">
        <v>500</v>
      </c>
    </row>
    <row r="501" spans="1:1" x14ac:dyDescent="0.2">
      <c r="A501" s="1" t="s">
        <v>501</v>
      </c>
    </row>
    <row r="502" spans="1:1" x14ac:dyDescent="0.2">
      <c r="A502" s="1" t="s">
        <v>502</v>
      </c>
    </row>
    <row r="503" spans="1:1" x14ac:dyDescent="0.2">
      <c r="A503" s="1" t="s">
        <v>503</v>
      </c>
    </row>
    <row r="504" spans="1:1" x14ac:dyDescent="0.2">
      <c r="A504" s="1" t="s">
        <v>504</v>
      </c>
    </row>
    <row r="505" spans="1:1" x14ac:dyDescent="0.2">
      <c r="A505" s="1" t="s">
        <v>505</v>
      </c>
    </row>
    <row r="506" spans="1:1" x14ac:dyDescent="0.2">
      <c r="A506" s="1" t="s">
        <v>506</v>
      </c>
    </row>
    <row r="507" spans="1:1" x14ac:dyDescent="0.2">
      <c r="A507" s="1" t="s">
        <v>507</v>
      </c>
    </row>
    <row r="508" spans="1:1" x14ac:dyDescent="0.2">
      <c r="A508" s="1" t="s">
        <v>508</v>
      </c>
    </row>
    <row r="509" spans="1:1" x14ac:dyDescent="0.2">
      <c r="A509" s="1" t="s">
        <v>509</v>
      </c>
    </row>
    <row r="510" spans="1:1" x14ac:dyDescent="0.2">
      <c r="A510" s="1" t="s">
        <v>510</v>
      </c>
    </row>
    <row r="511" spans="1:1" x14ac:dyDescent="0.2">
      <c r="A511" s="1" t="s">
        <v>511</v>
      </c>
    </row>
    <row r="512" spans="1:1" x14ac:dyDescent="0.2">
      <c r="A512" s="1" t="s">
        <v>512</v>
      </c>
    </row>
    <row r="513" spans="1:1" x14ac:dyDescent="0.2">
      <c r="A513" s="1" t="s">
        <v>513</v>
      </c>
    </row>
    <row r="514" spans="1:1" x14ac:dyDescent="0.2">
      <c r="A514" s="1" t="s">
        <v>514</v>
      </c>
    </row>
    <row r="515" spans="1:1" x14ac:dyDescent="0.2">
      <c r="A515" s="1" t="s">
        <v>515</v>
      </c>
    </row>
    <row r="516" spans="1:1" x14ac:dyDescent="0.2">
      <c r="A516" s="1" t="s">
        <v>516</v>
      </c>
    </row>
    <row r="517" spans="1:1" x14ac:dyDescent="0.2">
      <c r="A517" s="1" t="s">
        <v>517</v>
      </c>
    </row>
    <row r="518" spans="1:1" x14ac:dyDescent="0.2">
      <c r="A518" s="1" t="s">
        <v>518</v>
      </c>
    </row>
    <row r="519" spans="1:1" x14ac:dyDescent="0.2">
      <c r="A519" s="1" t="s">
        <v>519</v>
      </c>
    </row>
    <row r="520" spans="1:1" x14ac:dyDescent="0.2">
      <c r="A520" s="1" t="s">
        <v>520</v>
      </c>
    </row>
    <row r="521" spans="1:1" x14ac:dyDescent="0.2">
      <c r="A521" s="1" t="s">
        <v>521</v>
      </c>
    </row>
    <row r="522" spans="1:1" x14ac:dyDescent="0.2">
      <c r="A522" s="1" t="s">
        <v>522</v>
      </c>
    </row>
    <row r="523" spans="1:1" x14ac:dyDescent="0.2">
      <c r="A523" s="1" t="s">
        <v>523</v>
      </c>
    </row>
    <row r="524" spans="1:1" x14ac:dyDescent="0.2">
      <c r="A524" s="1" t="s">
        <v>524</v>
      </c>
    </row>
    <row r="525" spans="1:1" x14ac:dyDescent="0.2">
      <c r="A525" s="1" t="s">
        <v>525</v>
      </c>
    </row>
    <row r="526" spans="1:1" x14ac:dyDescent="0.2">
      <c r="A526" s="1" t="s">
        <v>526</v>
      </c>
    </row>
    <row r="527" spans="1:1" x14ac:dyDescent="0.2">
      <c r="A527" s="1" t="s">
        <v>527</v>
      </c>
    </row>
    <row r="528" spans="1:1" x14ac:dyDescent="0.2">
      <c r="A528" s="1" t="s">
        <v>528</v>
      </c>
    </row>
    <row r="529" spans="1:1" x14ac:dyDescent="0.2">
      <c r="A529" s="1" t="s">
        <v>529</v>
      </c>
    </row>
    <row r="530" spans="1:1" x14ac:dyDescent="0.2">
      <c r="A530" s="1" t="s">
        <v>530</v>
      </c>
    </row>
    <row r="531" spans="1:1" x14ac:dyDescent="0.2">
      <c r="A531" s="1" t="s">
        <v>531</v>
      </c>
    </row>
    <row r="532" spans="1:1" x14ac:dyDescent="0.2">
      <c r="A532" s="1" t="s">
        <v>532</v>
      </c>
    </row>
    <row r="533" spans="1:1" x14ac:dyDescent="0.2">
      <c r="A533" s="1" t="s">
        <v>533</v>
      </c>
    </row>
    <row r="534" spans="1:1" x14ac:dyDescent="0.2">
      <c r="A534" s="1" t="s">
        <v>534</v>
      </c>
    </row>
    <row r="535" spans="1:1" x14ac:dyDescent="0.2">
      <c r="A535" s="1" t="s">
        <v>535</v>
      </c>
    </row>
    <row r="536" spans="1:1" x14ac:dyDescent="0.2">
      <c r="A536" s="1" t="s">
        <v>536</v>
      </c>
    </row>
    <row r="537" spans="1:1" x14ac:dyDescent="0.2">
      <c r="A537" s="1" t="s">
        <v>537</v>
      </c>
    </row>
    <row r="538" spans="1:1" x14ac:dyDescent="0.2">
      <c r="A538" s="1" t="s">
        <v>538</v>
      </c>
    </row>
    <row r="539" spans="1:1" x14ac:dyDescent="0.2">
      <c r="A539" s="1" t="s">
        <v>539</v>
      </c>
    </row>
    <row r="540" spans="1:1" x14ac:dyDescent="0.2">
      <c r="A540" s="1" t="s">
        <v>540</v>
      </c>
    </row>
    <row r="541" spans="1:1" x14ac:dyDescent="0.2">
      <c r="A541" s="1" t="s">
        <v>541</v>
      </c>
    </row>
    <row r="542" spans="1:1" x14ac:dyDescent="0.2">
      <c r="A542" s="1" t="s">
        <v>542</v>
      </c>
    </row>
    <row r="543" spans="1:1" x14ac:dyDescent="0.2">
      <c r="A543" s="1" t="s">
        <v>543</v>
      </c>
    </row>
    <row r="544" spans="1:1" x14ac:dyDescent="0.2">
      <c r="A544" s="1" t="s">
        <v>544</v>
      </c>
    </row>
    <row r="545" spans="1:1" x14ac:dyDescent="0.2">
      <c r="A545" s="1" t="s">
        <v>545</v>
      </c>
    </row>
    <row r="546" spans="1:1" x14ac:dyDescent="0.2">
      <c r="A546" s="1" t="s">
        <v>546</v>
      </c>
    </row>
    <row r="547" spans="1:1" x14ac:dyDescent="0.2">
      <c r="A547" s="1" t="s">
        <v>547</v>
      </c>
    </row>
    <row r="548" spans="1:1" x14ac:dyDescent="0.2">
      <c r="A548" s="1" t="s">
        <v>548</v>
      </c>
    </row>
    <row r="549" spans="1:1" x14ac:dyDescent="0.2">
      <c r="A549" s="1" t="s">
        <v>549</v>
      </c>
    </row>
    <row r="550" spans="1:1" x14ac:dyDescent="0.2">
      <c r="A550" s="1" t="s">
        <v>550</v>
      </c>
    </row>
    <row r="551" spans="1:1" x14ac:dyDescent="0.2">
      <c r="A551" s="1" t="s">
        <v>551</v>
      </c>
    </row>
    <row r="552" spans="1:1" x14ac:dyDescent="0.2">
      <c r="A552" s="1" t="s">
        <v>552</v>
      </c>
    </row>
    <row r="553" spans="1:1" x14ac:dyDescent="0.2">
      <c r="A553" s="1" t="s">
        <v>553</v>
      </c>
    </row>
    <row r="554" spans="1:1" x14ac:dyDescent="0.2">
      <c r="A554" s="1" t="s">
        <v>554</v>
      </c>
    </row>
    <row r="555" spans="1:1" x14ac:dyDescent="0.2">
      <c r="A555" s="1" t="s">
        <v>555</v>
      </c>
    </row>
    <row r="556" spans="1:1" x14ac:dyDescent="0.2">
      <c r="A556" s="1" t="s">
        <v>556</v>
      </c>
    </row>
    <row r="557" spans="1:1" x14ac:dyDescent="0.2">
      <c r="A557" s="1" t="s">
        <v>557</v>
      </c>
    </row>
    <row r="558" spans="1:1" x14ac:dyDescent="0.2">
      <c r="A558" s="1" t="s">
        <v>558</v>
      </c>
    </row>
    <row r="559" spans="1:1" x14ac:dyDescent="0.2">
      <c r="A559" s="1" t="s">
        <v>559</v>
      </c>
    </row>
    <row r="560" spans="1:1" x14ac:dyDescent="0.2">
      <c r="A560" s="1" t="s">
        <v>560</v>
      </c>
    </row>
    <row r="561" spans="1:1" x14ac:dyDescent="0.2">
      <c r="A561" s="1" t="s">
        <v>561</v>
      </c>
    </row>
    <row r="562" spans="1:1" x14ac:dyDescent="0.2">
      <c r="A562" s="1" t="s">
        <v>562</v>
      </c>
    </row>
    <row r="563" spans="1:1" x14ac:dyDescent="0.2">
      <c r="A563" s="1" t="s">
        <v>563</v>
      </c>
    </row>
    <row r="564" spans="1:1" x14ac:dyDescent="0.2">
      <c r="A564" s="1" t="s">
        <v>564</v>
      </c>
    </row>
    <row r="565" spans="1:1" x14ac:dyDescent="0.2">
      <c r="A565" s="1" t="s">
        <v>565</v>
      </c>
    </row>
    <row r="566" spans="1:1" x14ac:dyDescent="0.2">
      <c r="A566" s="1" t="s">
        <v>566</v>
      </c>
    </row>
    <row r="567" spans="1:1" x14ac:dyDescent="0.2">
      <c r="A567" s="1" t="s">
        <v>567</v>
      </c>
    </row>
    <row r="568" spans="1:1" x14ac:dyDescent="0.2">
      <c r="A568" s="1" t="s">
        <v>568</v>
      </c>
    </row>
    <row r="569" spans="1:1" x14ac:dyDescent="0.2">
      <c r="A569" s="1" t="s">
        <v>569</v>
      </c>
    </row>
    <row r="570" spans="1:1" x14ac:dyDescent="0.2">
      <c r="A570" s="1" t="s">
        <v>570</v>
      </c>
    </row>
    <row r="571" spans="1:1" x14ac:dyDescent="0.2">
      <c r="A571" s="1" t="s">
        <v>571</v>
      </c>
    </row>
    <row r="572" spans="1:1" x14ac:dyDescent="0.2">
      <c r="A572" s="1" t="s">
        <v>572</v>
      </c>
    </row>
    <row r="573" spans="1:1" x14ac:dyDescent="0.2">
      <c r="A573" s="1" t="s">
        <v>573</v>
      </c>
    </row>
    <row r="574" spans="1:1" x14ac:dyDescent="0.2">
      <c r="A574" s="1" t="s">
        <v>574</v>
      </c>
    </row>
    <row r="575" spans="1:1" x14ac:dyDescent="0.2">
      <c r="A575" s="1" t="s">
        <v>575</v>
      </c>
    </row>
    <row r="576" spans="1:1" x14ac:dyDescent="0.2">
      <c r="A576" s="1" t="s">
        <v>576</v>
      </c>
    </row>
    <row r="577" spans="1:1" x14ac:dyDescent="0.2">
      <c r="A577" s="1" t="s">
        <v>577</v>
      </c>
    </row>
    <row r="578" spans="1:1" x14ac:dyDescent="0.2">
      <c r="A578" s="1" t="s">
        <v>578</v>
      </c>
    </row>
    <row r="579" spans="1:1" x14ac:dyDescent="0.2">
      <c r="A579" s="1" t="s">
        <v>579</v>
      </c>
    </row>
    <row r="580" spans="1:1" x14ac:dyDescent="0.2">
      <c r="A580" s="1" t="s">
        <v>580</v>
      </c>
    </row>
    <row r="581" spans="1:1" x14ac:dyDescent="0.2">
      <c r="A581" s="1" t="s">
        <v>581</v>
      </c>
    </row>
    <row r="582" spans="1:1" x14ac:dyDescent="0.2">
      <c r="A582" s="1" t="s">
        <v>582</v>
      </c>
    </row>
    <row r="583" spans="1:1" x14ac:dyDescent="0.2">
      <c r="A583" s="1" t="s">
        <v>583</v>
      </c>
    </row>
    <row r="584" spans="1:1" x14ac:dyDescent="0.2">
      <c r="A584" s="1" t="s">
        <v>584</v>
      </c>
    </row>
    <row r="585" spans="1:1" x14ac:dyDescent="0.2">
      <c r="A585" s="1" t="s">
        <v>585</v>
      </c>
    </row>
    <row r="586" spans="1:1" x14ac:dyDescent="0.2">
      <c r="A586" s="1" t="s">
        <v>586</v>
      </c>
    </row>
    <row r="587" spans="1:1" x14ac:dyDescent="0.2">
      <c r="A587" s="1" t="s">
        <v>587</v>
      </c>
    </row>
    <row r="588" spans="1:1" x14ac:dyDescent="0.2">
      <c r="A588" s="1" t="s">
        <v>588</v>
      </c>
    </row>
    <row r="589" spans="1:1" x14ac:dyDescent="0.2">
      <c r="A589" s="1" t="s">
        <v>589</v>
      </c>
    </row>
    <row r="590" spans="1:1" x14ac:dyDescent="0.2">
      <c r="A590" s="1" t="s">
        <v>590</v>
      </c>
    </row>
    <row r="591" spans="1:1" x14ac:dyDescent="0.2">
      <c r="A591" s="1" t="s">
        <v>591</v>
      </c>
    </row>
    <row r="592" spans="1:1" x14ac:dyDescent="0.2">
      <c r="A592" s="1" t="s">
        <v>592</v>
      </c>
    </row>
    <row r="593" spans="1:1" x14ac:dyDescent="0.2">
      <c r="A593" s="1" t="s">
        <v>593</v>
      </c>
    </row>
    <row r="594" spans="1:1" x14ac:dyDescent="0.2">
      <c r="A594" s="1" t="s">
        <v>594</v>
      </c>
    </row>
    <row r="595" spans="1:1" x14ac:dyDescent="0.2">
      <c r="A595" s="1" t="s">
        <v>595</v>
      </c>
    </row>
    <row r="596" spans="1:1" x14ac:dyDescent="0.2">
      <c r="A596" s="1" t="s">
        <v>596</v>
      </c>
    </row>
    <row r="597" spans="1:1" x14ac:dyDescent="0.2">
      <c r="A597" s="1" t="s">
        <v>597</v>
      </c>
    </row>
    <row r="598" spans="1:1" x14ac:dyDescent="0.2">
      <c r="A598" s="1" t="s">
        <v>598</v>
      </c>
    </row>
    <row r="599" spans="1:1" x14ac:dyDescent="0.2">
      <c r="A599" s="1" t="s">
        <v>599</v>
      </c>
    </row>
    <row r="600" spans="1:1" x14ac:dyDescent="0.2">
      <c r="A600" s="1" t="s">
        <v>600</v>
      </c>
    </row>
    <row r="601" spans="1:1" x14ac:dyDescent="0.2">
      <c r="A601" s="1" t="s">
        <v>601</v>
      </c>
    </row>
    <row r="602" spans="1:1" x14ac:dyDescent="0.2">
      <c r="A602" s="1" t="s">
        <v>602</v>
      </c>
    </row>
    <row r="603" spans="1:1" x14ac:dyDescent="0.2">
      <c r="A603" s="1" t="s">
        <v>603</v>
      </c>
    </row>
    <row r="604" spans="1:1" x14ac:dyDescent="0.2">
      <c r="A604" s="1" t="s">
        <v>604</v>
      </c>
    </row>
    <row r="605" spans="1:1" x14ac:dyDescent="0.2">
      <c r="A605" s="1" t="s">
        <v>605</v>
      </c>
    </row>
    <row r="606" spans="1:1" x14ac:dyDescent="0.2">
      <c r="A606" s="1" t="s">
        <v>606</v>
      </c>
    </row>
    <row r="607" spans="1:1" x14ac:dyDescent="0.2">
      <c r="A607" s="1" t="s">
        <v>607</v>
      </c>
    </row>
    <row r="608" spans="1:1" x14ac:dyDescent="0.2">
      <c r="A608" s="1" t="s">
        <v>608</v>
      </c>
    </row>
    <row r="609" spans="1:1" x14ac:dyDescent="0.2">
      <c r="A609" s="1" t="s">
        <v>609</v>
      </c>
    </row>
    <row r="610" spans="1:1" x14ac:dyDescent="0.2">
      <c r="A610" s="1" t="s">
        <v>610</v>
      </c>
    </row>
    <row r="611" spans="1:1" x14ac:dyDescent="0.2">
      <c r="A611" s="1" t="s">
        <v>611</v>
      </c>
    </row>
    <row r="612" spans="1:1" x14ac:dyDescent="0.2">
      <c r="A612" s="1" t="s">
        <v>612</v>
      </c>
    </row>
    <row r="613" spans="1:1" x14ac:dyDescent="0.2">
      <c r="A613" s="1" t="s">
        <v>613</v>
      </c>
    </row>
    <row r="614" spans="1:1" x14ac:dyDescent="0.2">
      <c r="A614" s="1" t="s">
        <v>614</v>
      </c>
    </row>
    <row r="615" spans="1:1" x14ac:dyDescent="0.2">
      <c r="A615" s="1" t="s">
        <v>615</v>
      </c>
    </row>
    <row r="616" spans="1:1" x14ac:dyDescent="0.2">
      <c r="A616" s="1" t="s">
        <v>616</v>
      </c>
    </row>
    <row r="617" spans="1:1" x14ac:dyDescent="0.2">
      <c r="A617" s="1" t="s">
        <v>617</v>
      </c>
    </row>
    <row r="618" spans="1:1" x14ac:dyDescent="0.2">
      <c r="A618" s="1" t="s">
        <v>618</v>
      </c>
    </row>
    <row r="619" spans="1:1" x14ac:dyDescent="0.2">
      <c r="A619" s="1" t="s">
        <v>619</v>
      </c>
    </row>
    <row r="620" spans="1:1" x14ac:dyDescent="0.2">
      <c r="A620" s="1" t="s">
        <v>620</v>
      </c>
    </row>
    <row r="621" spans="1:1" x14ac:dyDescent="0.2">
      <c r="A621" s="1" t="s">
        <v>621</v>
      </c>
    </row>
    <row r="622" spans="1:1" x14ac:dyDescent="0.2">
      <c r="A622" s="1" t="s">
        <v>622</v>
      </c>
    </row>
    <row r="623" spans="1:1" x14ac:dyDescent="0.2">
      <c r="A623" s="1" t="s">
        <v>623</v>
      </c>
    </row>
    <row r="624" spans="1:1" x14ac:dyDescent="0.2">
      <c r="A624" s="1" t="s">
        <v>624</v>
      </c>
    </row>
    <row r="625" spans="1:1" x14ac:dyDescent="0.2">
      <c r="A625" s="1" t="s">
        <v>625</v>
      </c>
    </row>
    <row r="626" spans="1:1" x14ac:dyDescent="0.2">
      <c r="A626" s="1" t="s">
        <v>626</v>
      </c>
    </row>
    <row r="627" spans="1:1" x14ac:dyDescent="0.2">
      <c r="A627" s="1" t="s">
        <v>627</v>
      </c>
    </row>
    <row r="628" spans="1:1" x14ac:dyDescent="0.2">
      <c r="A628" s="1" t="s">
        <v>628</v>
      </c>
    </row>
    <row r="629" spans="1:1" x14ac:dyDescent="0.2">
      <c r="A629" s="1" t="s">
        <v>629</v>
      </c>
    </row>
    <row r="630" spans="1:1" x14ac:dyDescent="0.2">
      <c r="A630" s="1" t="s">
        <v>630</v>
      </c>
    </row>
    <row r="631" spans="1:1" x14ac:dyDescent="0.2">
      <c r="A631" s="1" t="s">
        <v>631</v>
      </c>
    </row>
    <row r="632" spans="1:1" x14ac:dyDescent="0.2">
      <c r="A632" s="1" t="s">
        <v>632</v>
      </c>
    </row>
    <row r="633" spans="1:1" x14ac:dyDescent="0.2">
      <c r="A633" s="1" t="s">
        <v>633</v>
      </c>
    </row>
    <row r="634" spans="1:1" x14ac:dyDescent="0.2">
      <c r="A634" s="1" t="s">
        <v>634</v>
      </c>
    </row>
    <row r="635" spans="1:1" x14ac:dyDescent="0.2">
      <c r="A635" s="1" t="s">
        <v>635</v>
      </c>
    </row>
    <row r="636" spans="1:1" x14ac:dyDescent="0.2">
      <c r="A636" s="1" t="s">
        <v>636</v>
      </c>
    </row>
    <row r="637" spans="1:1" x14ac:dyDescent="0.2">
      <c r="A637" s="1" t="s">
        <v>637</v>
      </c>
    </row>
    <row r="638" spans="1:1" x14ac:dyDescent="0.2">
      <c r="A638" s="1" t="s">
        <v>638</v>
      </c>
    </row>
    <row r="639" spans="1:1" x14ac:dyDescent="0.2">
      <c r="A639" s="1" t="s">
        <v>639</v>
      </c>
    </row>
    <row r="640" spans="1:1" x14ac:dyDescent="0.2">
      <c r="A640" s="1" t="s">
        <v>640</v>
      </c>
    </row>
    <row r="641" spans="1:1" x14ac:dyDescent="0.2">
      <c r="A641" s="1" t="s">
        <v>641</v>
      </c>
    </row>
    <row r="642" spans="1:1" x14ac:dyDescent="0.2">
      <c r="A642" s="1" t="s">
        <v>642</v>
      </c>
    </row>
    <row r="643" spans="1:1" x14ac:dyDescent="0.2">
      <c r="A643" s="1" t="s">
        <v>643</v>
      </c>
    </row>
    <row r="644" spans="1:1" x14ac:dyDescent="0.2">
      <c r="A644" s="1" t="s">
        <v>644</v>
      </c>
    </row>
    <row r="645" spans="1:1" x14ac:dyDescent="0.2">
      <c r="A645" s="1" t="s">
        <v>645</v>
      </c>
    </row>
    <row r="646" spans="1:1" x14ac:dyDescent="0.2">
      <c r="A646" s="1" t="s">
        <v>646</v>
      </c>
    </row>
    <row r="647" spans="1:1" x14ac:dyDescent="0.2">
      <c r="A647" s="1" t="s">
        <v>647</v>
      </c>
    </row>
    <row r="648" spans="1:1" x14ac:dyDescent="0.2">
      <c r="A648" s="1" t="s">
        <v>648</v>
      </c>
    </row>
    <row r="649" spans="1:1" x14ac:dyDescent="0.2">
      <c r="A649" s="1" t="s">
        <v>649</v>
      </c>
    </row>
    <row r="650" spans="1:1" x14ac:dyDescent="0.2">
      <c r="A650" s="1" t="s">
        <v>650</v>
      </c>
    </row>
    <row r="651" spans="1:1" x14ac:dyDescent="0.2">
      <c r="A651" s="1" t="s">
        <v>651</v>
      </c>
    </row>
    <row r="652" spans="1:1" x14ac:dyDescent="0.2">
      <c r="A652" s="1" t="s">
        <v>652</v>
      </c>
    </row>
    <row r="653" spans="1:1" x14ac:dyDescent="0.2">
      <c r="A653" s="1" t="s">
        <v>653</v>
      </c>
    </row>
    <row r="654" spans="1:1" x14ac:dyDescent="0.2">
      <c r="A654" s="1" t="s">
        <v>654</v>
      </c>
    </row>
    <row r="655" spans="1:1" x14ac:dyDescent="0.2">
      <c r="A655" s="1" t="s">
        <v>655</v>
      </c>
    </row>
    <row r="656" spans="1:1" x14ac:dyDescent="0.2">
      <c r="A656" s="1" t="s">
        <v>656</v>
      </c>
    </row>
    <row r="657" spans="1:1" x14ac:dyDescent="0.2">
      <c r="A657" s="1" t="s">
        <v>657</v>
      </c>
    </row>
    <row r="658" spans="1:1" x14ac:dyDescent="0.2">
      <c r="A658" s="1" t="s">
        <v>658</v>
      </c>
    </row>
    <row r="659" spans="1:1" x14ac:dyDescent="0.2">
      <c r="A659" s="1" t="s">
        <v>659</v>
      </c>
    </row>
    <row r="660" spans="1:1" x14ac:dyDescent="0.2">
      <c r="A660" s="1" t="s">
        <v>660</v>
      </c>
    </row>
    <row r="661" spans="1:1" x14ac:dyDescent="0.2">
      <c r="A661" s="1" t="s">
        <v>661</v>
      </c>
    </row>
    <row r="662" spans="1:1" x14ac:dyDescent="0.2">
      <c r="A662" s="1" t="s">
        <v>662</v>
      </c>
    </row>
    <row r="663" spans="1:1" x14ac:dyDescent="0.2">
      <c r="A663" s="1" t="s">
        <v>663</v>
      </c>
    </row>
    <row r="664" spans="1:1" x14ac:dyDescent="0.2">
      <c r="A664" s="1" t="s">
        <v>664</v>
      </c>
    </row>
    <row r="665" spans="1:1" x14ac:dyDescent="0.2">
      <c r="A665" s="1" t="s">
        <v>665</v>
      </c>
    </row>
    <row r="666" spans="1:1" x14ac:dyDescent="0.2">
      <c r="A666" s="1" t="s">
        <v>666</v>
      </c>
    </row>
    <row r="667" spans="1:1" x14ac:dyDescent="0.2">
      <c r="A667" s="1" t="s">
        <v>667</v>
      </c>
    </row>
    <row r="668" spans="1:1" x14ac:dyDescent="0.2">
      <c r="A668" s="1" t="s">
        <v>668</v>
      </c>
    </row>
    <row r="669" spans="1:1" x14ac:dyDescent="0.2">
      <c r="A669" s="1" t="s">
        <v>669</v>
      </c>
    </row>
    <row r="670" spans="1:1" x14ac:dyDescent="0.2">
      <c r="A670" s="1" t="s">
        <v>670</v>
      </c>
    </row>
    <row r="671" spans="1:1" x14ac:dyDescent="0.2">
      <c r="A671" s="1" t="s">
        <v>671</v>
      </c>
    </row>
    <row r="672" spans="1:1" x14ac:dyDescent="0.2">
      <c r="A672" s="1" t="s">
        <v>672</v>
      </c>
    </row>
    <row r="673" spans="1:1" x14ac:dyDescent="0.2">
      <c r="A673" s="1" t="s">
        <v>673</v>
      </c>
    </row>
    <row r="674" spans="1:1" x14ac:dyDescent="0.2">
      <c r="A674" s="1" t="s">
        <v>674</v>
      </c>
    </row>
    <row r="675" spans="1:1" x14ac:dyDescent="0.2">
      <c r="A675" s="1" t="s">
        <v>675</v>
      </c>
    </row>
    <row r="676" spans="1:1" x14ac:dyDescent="0.2">
      <c r="A676" s="1" t="s">
        <v>676</v>
      </c>
    </row>
    <row r="677" spans="1:1" x14ac:dyDescent="0.2">
      <c r="A677" s="1" t="s">
        <v>677</v>
      </c>
    </row>
    <row r="678" spans="1:1" x14ac:dyDescent="0.2">
      <c r="A678" s="1" t="s">
        <v>678</v>
      </c>
    </row>
    <row r="679" spans="1:1" x14ac:dyDescent="0.2">
      <c r="A679" s="1" t="s">
        <v>679</v>
      </c>
    </row>
    <row r="680" spans="1:1" x14ac:dyDescent="0.2">
      <c r="A680" s="1" t="s">
        <v>680</v>
      </c>
    </row>
    <row r="681" spans="1:1" x14ac:dyDescent="0.2">
      <c r="A681" s="1" t="s">
        <v>681</v>
      </c>
    </row>
    <row r="682" spans="1:1" x14ac:dyDescent="0.2">
      <c r="A682" s="1" t="s">
        <v>682</v>
      </c>
    </row>
    <row r="683" spans="1:1" x14ac:dyDescent="0.2">
      <c r="A683" s="1" t="s">
        <v>683</v>
      </c>
    </row>
    <row r="684" spans="1:1" x14ac:dyDescent="0.2">
      <c r="A684" s="1" t="s">
        <v>684</v>
      </c>
    </row>
    <row r="685" spans="1:1" x14ac:dyDescent="0.2">
      <c r="A685" s="1" t="s">
        <v>685</v>
      </c>
    </row>
    <row r="686" spans="1:1" x14ac:dyDescent="0.2">
      <c r="A686" s="1" t="s">
        <v>686</v>
      </c>
    </row>
    <row r="687" spans="1:1" x14ac:dyDescent="0.2">
      <c r="A687" s="1" t="s">
        <v>687</v>
      </c>
    </row>
    <row r="688" spans="1:1" x14ac:dyDescent="0.2">
      <c r="A688" s="1" t="s">
        <v>688</v>
      </c>
    </row>
    <row r="689" spans="1:1" x14ac:dyDescent="0.2">
      <c r="A689" s="1" t="s">
        <v>689</v>
      </c>
    </row>
    <row r="690" spans="1:1" x14ac:dyDescent="0.2">
      <c r="A690" s="1" t="s">
        <v>690</v>
      </c>
    </row>
    <row r="691" spans="1:1" x14ac:dyDescent="0.2">
      <c r="A691" s="1" t="s">
        <v>691</v>
      </c>
    </row>
    <row r="692" spans="1:1" x14ac:dyDescent="0.2">
      <c r="A692" s="1" t="s">
        <v>692</v>
      </c>
    </row>
    <row r="693" spans="1:1" x14ac:dyDescent="0.2">
      <c r="A693" s="1" t="s">
        <v>693</v>
      </c>
    </row>
    <row r="694" spans="1:1" x14ac:dyDescent="0.2">
      <c r="A694" s="1" t="s">
        <v>694</v>
      </c>
    </row>
    <row r="695" spans="1:1" x14ac:dyDescent="0.2">
      <c r="A695" s="1" t="s">
        <v>695</v>
      </c>
    </row>
    <row r="696" spans="1:1" x14ac:dyDescent="0.2">
      <c r="A696" s="1" t="s">
        <v>696</v>
      </c>
    </row>
    <row r="697" spans="1:1" x14ac:dyDescent="0.2">
      <c r="A697" s="1" t="s">
        <v>697</v>
      </c>
    </row>
    <row r="698" spans="1:1" x14ac:dyDescent="0.2">
      <c r="A698" s="1" t="s">
        <v>698</v>
      </c>
    </row>
    <row r="699" spans="1:1" x14ac:dyDescent="0.2">
      <c r="A699" s="1" t="s">
        <v>699</v>
      </c>
    </row>
    <row r="700" spans="1:1" x14ac:dyDescent="0.2">
      <c r="A700" s="1" t="s">
        <v>700</v>
      </c>
    </row>
    <row r="701" spans="1:1" x14ac:dyDescent="0.2">
      <c r="A701" s="1" t="s">
        <v>701</v>
      </c>
    </row>
    <row r="702" spans="1:1" x14ac:dyDescent="0.2">
      <c r="A702" s="1" t="s">
        <v>702</v>
      </c>
    </row>
    <row r="703" spans="1:1" x14ac:dyDescent="0.2">
      <c r="A703" s="1" t="s">
        <v>703</v>
      </c>
    </row>
    <row r="704" spans="1:1" x14ac:dyDescent="0.2">
      <c r="A704" s="1" t="s">
        <v>704</v>
      </c>
    </row>
    <row r="705" spans="1:1" x14ac:dyDescent="0.2">
      <c r="A705" s="1" t="s">
        <v>705</v>
      </c>
    </row>
    <row r="706" spans="1:1" x14ac:dyDescent="0.2">
      <c r="A706" s="1" t="s">
        <v>706</v>
      </c>
    </row>
    <row r="707" spans="1:1" x14ac:dyDescent="0.2">
      <c r="A707" s="1" t="s">
        <v>707</v>
      </c>
    </row>
    <row r="708" spans="1:1" x14ac:dyDescent="0.2">
      <c r="A708" s="1" t="s">
        <v>708</v>
      </c>
    </row>
    <row r="709" spans="1:1" x14ac:dyDescent="0.2">
      <c r="A709" s="1" t="s">
        <v>709</v>
      </c>
    </row>
    <row r="710" spans="1:1" x14ac:dyDescent="0.2">
      <c r="A710" s="1" t="s">
        <v>710</v>
      </c>
    </row>
    <row r="711" spans="1:1" x14ac:dyDescent="0.2">
      <c r="A711" s="1" t="s">
        <v>711</v>
      </c>
    </row>
    <row r="712" spans="1:1" x14ac:dyDescent="0.2">
      <c r="A712" s="1" t="s">
        <v>712</v>
      </c>
    </row>
    <row r="713" spans="1:1" x14ac:dyDescent="0.2">
      <c r="A713" s="1" t="s">
        <v>713</v>
      </c>
    </row>
    <row r="714" spans="1:1" x14ac:dyDescent="0.2">
      <c r="A714" s="1" t="s">
        <v>714</v>
      </c>
    </row>
    <row r="715" spans="1:1" x14ac:dyDescent="0.2">
      <c r="A715" s="1" t="s">
        <v>715</v>
      </c>
    </row>
    <row r="716" spans="1:1" x14ac:dyDescent="0.2">
      <c r="A716" s="1" t="s">
        <v>716</v>
      </c>
    </row>
    <row r="717" spans="1:1" x14ac:dyDescent="0.2">
      <c r="A717" s="1" t="s">
        <v>717</v>
      </c>
    </row>
    <row r="718" spans="1:1" x14ac:dyDescent="0.2">
      <c r="A718" s="1" t="s">
        <v>718</v>
      </c>
    </row>
    <row r="719" spans="1:1" x14ac:dyDescent="0.2">
      <c r="A719" s="1" t="s">
        <v>719</v>
      </c>
    </row>
    <row r="720" spans="1:1" x14ac:dyDescent="0.2">
      <c r="A720" s="1" t="s">
        <v>720</v>
      </c>
    </row>
    <row r="721" spans="1:1" x14ac:dyDescent="0.2">
      <c r="A721" s="1" t="s">
        <v>721</v>
      </c>
    </row>
    <row r="722" spans="1:1" x14ac:dyDescent="0.2">
      <c r="A722" s="1" t="s">
        <v>722</v>
      </c>
    </row>
    <row r="723" spans="1:1" x14ac:dyDescent="0.2">
      <c r="A723" s="1" t="s">
        <v>723</v>
      </c>
    </row>
    <row r="724" spans="1:1" x14ac:dyDescent="0.2">
      <c r="A724" s="1" t="s">
        <v>724</v>
      </c>
    </row>
    <row r="725" spans="1:1" x14ac:dyDescent="0.2">
      <c r="A725" s="1" t="s">
        <v>725</v>
      </c>
    </row>
    <row r="726" spans="1:1" x14ac:dyDescent="0.2">
      <c r="A726" s="1" t="s">
        <v>726</v>
      </c>
    </row>
    <row r="727" spans="1:1" x14ac:dyDescent="0.2">
      <c r="A727" s="1" t="s">
        <v>727</v>
      </c>
    </row>
    <row r="728" spans="1:1" x14ac:dyDescent="0.2">
      <c r="A728" s="1" t="s">
        <v>728</v>
      </c>
    </row>
    <row r="729" spans="1:1" x14ac:dyDescent="0.2">
      <c r="A729" s="1" t="s">
        <v>729</v>
      </c>
    </row>
    <row r="730" spans="1:1" x14ac:dyDescent="0.2">
      <c r="A730" s="1" t="s">
        <v>730</v>
      </c>
    </row>
    <row r="731" spans="1:1" x14ac:dyDescent="0.2">
      <c r="A731" s="1" t="s">
        <v>731</v>
      </c>
    </row>
    <row r="732" spans="1:1" x14ac:dyDescent="0.2">
      <c r="A732" s="1" t="s">
        <v>732</v>
      </c>
    </row>
    <row r="733" spans="1:1" x14ac:dyDescent="0.2">
      <c r="A733" s="1" t="s">
        <v>733</v>
      </c>
    </row>
    <row r="734" spans="1:1" x14ac:dyDescent="0.2">
      <c r="A734" s="1" t="s">
        <v>734</v>
      </c>
    </row>
    <row r="735" spans="1:1" x14ac:dyDescent="0.2">
      <c r="A735" s="1" t="s">
        <v>735</v>
      </c>
    </row>
    <row r="736" spans="1:1" x14ac:dyDescent="0.2">
      <c r="A736" s="1" t="s">
        <v>736</v>
      </c>
    </row>
    <row r="737" spans="1:1" x14ac:dyDescent="0.2">
      <c r="A737" s="1" t="s">
        <v>737</v>
      </c>
    </row>
    <row r="738" spans="1:1" x14ac:dyDescent="0.2">
      <c r="A738" s="1" t="s">
        <v>738</v>
      </c>
    </row>
    <row r="739" spans="1:1" x14ac:dyDescent="0.2">
      <c r="A739" s="1" t="s">
        <v>739</v>
      </c>
    </row>
    <row r="740" spans="1:1" x14ac:dyDescent="0.2">
      <c r="A740" s="1" t="s">
        <v>740</v>
      </c>
    </row>
    <row r="741" spans="1:1" x14ac:dyDescent="0.2">
      <c r="A741" s="1" t="s">
        <v>741</v>
      </c>
    </row>
    <row r="742" spans="1:1" x14ac:dyDescent="0.2">
      <c r="A742" s="1" t="s">
        <v>742</v>
      </c>
    </row>
    <row r="743" spans="1:1" x14ac:dyDescent="0.2">
      <c r="A743" s="1" t="s">
        <v>743</v>
      </c>
    </row>
    <row r="744" spans="1:1" x14ac:dyDescent="0.2">
      <c r="A744" s="1" t="s">
        <v>744</v>
      </c>
    </row>
    <row r="745" spans="1:1" x14ac:dyDescent="0.2">
      <c r="A745" s="1" t="s">
        <v>745</v>
      </c>
    </row>
    <row r="746" spans="1:1" x14ac:dyDescent="0.2">
      <c r="A746" s="1" t="s">
        <v>746</v>
      </c>
    </row>
    <row r="747" spans="1:1" x14ac:dyDescent="0.2">
      <c r="A747" s="1" t="s">
        <v>747</v>
      </c>
    </row>
    <row r="748" spans="1:1" x14ac:dyDescent="0.2">
      <c r="A748" s="1" t="s">
        <v>748</v>
      </c>
    </row>
    <row r="749" spans="1:1" x14ac:dyDescent="0.2">
      <c r="A749" s="1" t="s">
        <v>749</v>
      </c>
    </row>
    <row r="750" spans="1:1" x14ac:dyDescent="0.2">
      <c r="A750" s="1" t="s">
        <v>750</v>
      </c>
    </row>
    <row r="751" spans="1:1" x14ac:dyDescent="0.2">
      <c r="A751" s="1" t="s">
        <v>751</v>
      </c>
    </row>
    <row r="752" spans="1:1" x14ac:dyDescent="0.2">
      <c r="A752" s="1" t="s">
        <v>752</v>
      </c>
    </row>
    <row r="753" spans="1:1" x14ac:dyDescent="0.2">
      <c r="A753" s="1" t="s">
        <v>753</v>
      </c>
    </row>
    <row r="754" spans="1:1" x14ac:dyDescent="0.2">
      <c r="A754" s="1" t="s">
        <v>754</v>
      </c>
    </row>
    <row r="755" spans="1:1" x14ac:dyDescent="0.2">
      <c r="A755" s="1" t="s">
        <v>755</v>
      </c>
    </row>
    <row r="756" spans="1:1" x14ac:dyDescent="0.2">
      <c r="A756" s="1" t="s">
        <v>756</v>
      </c>
    </row>
    <row r="757" spans="1:1" x14ac:dyDescent="0.2">
      <c r="A757" s="1" t="s">
        <v>757</v>
      </c>
    </row>
    <row r="758" spans="1:1" x14ac:dyDescent="0.2">
      <c r="A758" s="1" t="s">
        <v>758</v>
      </c>
    </row>
    <row r="759" spans="1:1" x14ac:dyDescent="0.2">
      <c r="A759" s="1" t="s">
        <v>759</v>
      </c>
    </row>
    <row r="760" spans="1:1" x14ac:dyDescent="0.2">
      <c r="A760" s="1" t="s">
        <v>760</v>
      </c>
    </row>
    <row r="761" spans="1:1" x14ac:dyDescent="0.2">
      <c r="A761" s="1" t="s">
        <v>761</v>
      </c>
    </row>
    <row r="762" spans="1:1" x14ac:dyDescent="0.2">
      <c r="A762" s="1" t="s">
        <v>762</v>
      </c>
    </row>
    <row r="763" spans="1:1" x14ac:dyDescent="0.2">
      <c r="A763" s="1" t="s">
        <v>763</v>
      </c>
    </row>
    <row r="764" spans="1:1" x14ac:dyDescent="0.2">
      <c r="A764" s="1" t="s">
        <v>764</v>
      </c>
    </row>
    <row r="765" spans="1:1" x14ac:dyDescent="0.2">
      <c r="A765" s="1" t="s">
        <v>765</v>
      </c>
    </row>
    <row r="766" spans="1:1" x14ac:dyDescent="0.2">
      <c r="A766" s="1" t="s">
        <v>766</v>
      </c>
    </row>
    <row r="767" spans="1:1" x14ac:dyDescent="0.2">
      <c r="A767" s="1" t="s">
        <v>767</v>
      </c>
    </row>
    <row r="768" spans="1:1" x14ac:dyDescent="0.2">
      <c r="A768" s="1" t="s">
        <v>768</v>
      </c>
    </row>
    <row r="769" spans="1:1" x14ac:dyDescent="0.2">
      <c r="A769" s="1" t="s">
        <v>769</v>
      </c>
    </row>
    <row r="770" spans="1:1" x14ac:dyDescent="0.2">
      <c r="A770" s="1" t="s">
        <v>770</v>
      </c>
    </row>
    <row r="771" spans="1:1" x14ac:dyDescent="0.2">
      <c r="A771" s="1" t="s">
        <v>771</v>
      </c>
    </row>
    <row r="772" spans="1:1" x14ac:dyDescent="0.2">
      <c r="A772" s="1" t="s">
        <v>772</v>
      </c>
    </row>
    <row r="773" spans="1:1" x14ac:dyDescent="0.2">
      <c r="A773" s="1" t="s">
        <v>773</v>
      </c>
    </row>
    <row r="774" spans="1:1" x14ac:dyDescent="0.2">
      <c r="A774" s="1" t="s">
        <v>774</v>
      </c>
    </row>
    <row r="775" spans="1:1" x14ac:dyDescent="0.2">
      <c r="A775" s="1" t="s">
        <v>775</v>
      </c>
    </row>
    <row r="776" spans="1:1" x14ac:dyDescent="0.2">
      <c r="A776" s="1" t="s">
        <v>776</v>
      </c>
    </row>
    <row r="777" spans="1:1" x14ac:dyDescent="0.2">
      <c r="A777" s="1" t="s">
        <v>777</v>
      </c>
    </row>
    <row r="778" spans="1:1" x14ac:dyDescent="0.2">
      <c r="A778" s="1" t="s">
        <v>778</v>
      </c>
    </row>
    <row r="779" spans="1:1" x14ac:dyDescent="0.2">
      <c r="A779" s="1" t="s">
        <v>779</v>
      </c>
    </row>
    <row r="780" spans="1:1" x14ac:dyDescent="0.2">
      <c r="A780" s="1" t="s">
        <v>780</v>
      </c>
    </row>
    <row r="781" spans="1:1" x14ac:dyDescent="0.2">
      <c r="A781" s="1" t="s">
        <v>781</v>
      </c>
    </row>
    <row r="782" spans="1:1" x14ac:dyDescent="0.2">
      <c r="A782" s="1" t="s">
        <v>782</v>
      </c>
    </row>
    <row r="783" spans="1:1" x14ac:dyDescent="0.2">
      <c r="A783" s="1" t="s">
        <v>783</v>
      </c>
    </row>
    <row r="784" spans="1:1" x14ac:dyDescent="0.2">
      <c r="A784" s="1" t="s">
        <v>784</v>
      </c>
    </row>
    <row r="785" spans="1:1" x14ac:dyDescent="0.2">
      <c r="A785" s="1" t="s">
        <v>785</v>
      </c>
    </row>
    <row r="786" spans="1:1" x14ac:dyDescent="0.2">
      <c r="A786" s="1" t="s">
        <v>786</v>
      </c>
    </row>
    <row r="787" spans="1:1" x14ac:dyDescent="0.2">
      <c r="A787" s="1" t="s">
        <v>787</v>
      </c>
    </row>
    <row r="788" spans="1:1" x14ac:dyDescent="0.2">
      <c r="A788" s="1" t="s">
        <v>788</v>
      </c>
    </row>
    <row r="789" spans="1:1" x14ac:dyDescent="0.2">
      <c r="A789" s="1" t="s">
        <v>789</v>
      </c>
    </row>
    <row r="790" spans="1:1" x14ac:dyDescent="0.2">
      <c r="A790" s="1" t="s">
        <v>790</v>
      </c>
    </row>
    <row r="791" spans="1:1" x14ac:dyDescent="0.2">
      <c r="A791" s="1" t="s">
        <v>791</v>
      </c>
    </row>
    <row r="792" spans="1:1" x14ac:dyDescent="0.2">
      <c r="A792" s="1" t="s">
        <v>792</v>
      </c>
    </row>
    <row r="793" spans="1:1" x14ac:dyDescent="0.2">
      <c r="A793" s="1" t="s">
        <v>793</v>
      </c>
    </row>
    <row r="794" spans="1:1" x14ac:dyDescent="0.2">
      <c r="A794" s="1" t="s">
        <v>794</v>
      </c>
    </row>
    <row r="795" spans="1:1" x14ac:dyDescent="0.2">
      <c r="A795" s="1" t="s">
        <v>795</v>
      </c>
    </row>
    <row r="796" spans="1:1" x14ac:dyDescent="0.2">
      <c r="A796" s="1" t="s">
        <v>796</v>
      </c>
    </row>
    <row r="797" spans="1:1" x14ac:dyDescent="0.2">
      <c r="A797" s="1" t="s">
        <v>797</v>
      </c>
    </row>
    <row r="798" spans="1:1" x14ac:dyDescent="0.2">
      <c r="A798" s="1" t="s">
        <v>798</v>
      </c>
    </row>
    <row r="799" spans="1:1" x14ac:dyDescent="0.2">
      <c r="A799" s="1" t="s">
        <v>799</v>
      </c>
    </row>
    <row r="800" spans="1:1" x14ac:dyDescent="0.2">
      <c r="A800" s="1" t="s">
        <v>800</v>
      </c>
    </row>
    <row r="801" spans="1:1" x14ac:dyDescent="0.2">
      <c r="A801" s="1" t="s">
        <v>801</v>
      </c>
    </row>
    <row r="802" spans="1:1" x14ac:dyDescent="0.2">
      <c r="A802" s="1" t="s">
        <v>802</v>
      </c>
    </row>
    <row r="803" spans="1:1" x14ac:dyDescent="0.2">
      <c r="A803" s="1" t="s">
        <v>803</v>
      </c>
    </row>
    <row r="804" spans="1:1" x14ac:dyDescent="0.2">
      <c r="A804" s="1" t="s">
        <v>804</v>
      </c>
    </row>
    <row r="805" spans="1:1" x14ac:dyDescent="0.2">
      <c r="A805" s="1" t="s">
        <v>805</v>
      </c>
    </row>
    <row r="806" spans="1:1" x14ac:dyDescent="0.2">
      <c r="A806" s="1" t="s">
        <v>806</v>
      </c>
    </row>
    <row r="807" spans="1:1" x14ac:dyDescent="0.2">
      <c r="A807" s="1" t="s">
        <v>807</v>
      </c>
    </row>
    <row r="808" spans="1:1" x14ac:dyDescent="0.2">
      <c r="A808" s="1" t="s">
        <v>808</v>
      </c>
    </row>
    <row r="809" spans="1:1" x14ac:dyDescent="0.2">
      <c r="A809" s="1" t="s">
        <v>809</v>
      </c>
    </row>
    <row r="810" spans="1:1" x14ac:dyDescent="0.2">
      <c r="A810" s="1" t="s">
        <v>810</v>
      </c>
    </row>
    <row r="811" spans="1:1" x14ac:dyDescent="0.2">
      <c r="A811" s="1" t="s">
        <v>811</v>
      </c>
    </row>
    <row r="812" spans="1:1" x14ac:dyDescent="0.2">
      <c r="A812" s="1" t="s">
        <v>812</v>
      </c>
    </row>
    <row r="813" spans="1:1" x14ac:dyDescent="0.2">
      <c r="A813" s="1" t="s">
        <v>813</v>
      </c>
    </row>
    <row r="814" spans="1:1" x14ac:dyDescent="0.2">
      <c r="A814" s="1" t="s">
        <v>814</v>
      </c>
    </row>
    <row r="815" spans="1:1" x14ac:dyDescent="0.2">
      <c r="A815" s="1" t="s">
        <v>815</v>
      </c>
    </row>
    <row r="816" spans="1:1" x14ac:dyDescent="0.2">
      <c r="A816" s="1" t="s">
        <v>816</v>
      </c>
    </row>
    <row r="817" spans="1:1" x14ac:dyDescent="0.2">
      <c r="A817" s="1" t="s">
        <v>817</v>
      </c>
    </row>
    <row r="818" spans="1:1" x14ac:dyDescent="0.2">
      <c r="A818" s="1" t="s">
        <v>818</v>
      </c>
    </row>
    <row r="819" spans="1:1" x14ac:dyDescent="0.2">
      <c r="A819" s="1" t="s">
        <v>819</v>
      </c>
    </row>
    <row r="820" spans="1:1" x14ac:dyDescent="0.2">
      <c r="A820" s="1" t="s">
        <v>820</v>
      </c>
    </row>
    <row r="821" spans="1:1" x14ac:dyDescent="0.2">
      <c r="A821" s="1" t="s">
        <v>821</v>
      </c>
    </row>
    <row r="822" spans="1:1" x14ac:dyDescent="0.2">
      <c r="A822" s="1" t="s">
        <v>822</v>
      </c>
    </row>
    <row r="823" spans="1:1" x14ac:dyDescent="0.2">
      <c r="A823" s="1" t="s">
        <v>823</v>
      </c>
    </row>
    <row r="824" spans="1:1" x14ac:dyDescent="0.2">
      <c r="A824" s="1" t="s">
        <v>824</v>
      </c>
    </row>
    <row r="825" spans="1:1" x14ac:dyDescent="0.2">
      <c r="A825" s="1" t="s">
        <v>825</v>
      </c>
    </row>
    <row r="826" spans="1:1" x14ac:dyDescent="0.2">
      <c r="A826" s="1" t="s">
        <v>826</v>
      </c>
    </row>
    <row r="827" spans="1:1" x14ac:dyDescent="0.2">
      <c r="A827" s="1" t="s">
        <v>827</v>
      </c>
    </row>
    <row r="828" spans="1:1" x14ac:dyDescent="0.2">
      <c r="A828" s="1" t="s">
        <v>828</v>
      </c>
    </row>
    <row r="829" spans="1:1" x14ac:dyDescent="0.2">
      <c r="A829" s="1" t="s">
        <v>829</v>
      </c>
    </row>
    <row r="830" spans="1:1" x14ac:dyDescent="0.2">
      <c r="A830" s="1" t="s">
        <v>830</v>
      </c>
    </row>
    <row r="831" spans="1:1" x14ac:dyDescent="0.2">
      <c r="A831" s="1" t="s">
        <v>831</v>
      </c>
    </row>
    <row r="832" spans="1:1" x14ac:dyDescent="0.2">
      <c r="A832" s="1" t="s">
        <v>832</v>
      </c>
    </row>
    <row r="833" spans="1:1" x14ac:dyDescent="0.2">
      <c r="A833" s="1" t="s">
        <v>833</v>
      </c>
    </row>
    <row r="834" spans="1:1" x14ac:dyDescent="0.2">
      <c r="A834" s="1" t="s">
        <v>834</v>
      </c>
    </row>
    <row r="835" spans="1:1" x14ac:dyDescent="0.2">
      <c r="A835" s="1" t="s">
        <v>835</v>
      </c>
    </row>
    <row r="836" spans="1:1" x14ac:dyDescent="0.2">
      <c r="A836" s="1" t="s">
        <v>836</v>
      </c>
    </row>
    <row r="837" spans="1:1" x14ac:dyDescent="0.2">
      <c r="A837" s="1" t="s">
        <v>837</v>
      </c>
    </row>
    <row r="838" spans="1:1" x14ac:dyDescent="0.2">
      <c r="A838" s="1" t="s">
        <v>838</v>
      </c>
    </row>
    <row r="839" spans="1:1" x14ac:dyDescent="0.2">
      <c r="A839" s="1" t="s">
        <v>839</v>
      </c>
    </row>
    <row r="840" spans="1:1" x14ac:dyDescent="0.2">
      <c r="A840" s="1" t="s">
        <v>840</v>
      </c>
    </row>
    <row r="841" spans="1:1" x14ac:dyDescent="0.2">
      <c r="A841" s="1" t="s">
        <v>841</v>
      </c>
    </row>
    <row r="842" spans="1:1" x14ac:dyDescent="0.2">
      <c r="A842" s="1" t="s">
        <v>842</v>
      </c>
    </row>
    <row r="843" spans="1:1" x14ac:dyDescent="0.2">
      <c r="A843" s="1" t="s">
        <v>843</v>
      </c>
    </row>
    <row r="844" spans="1:1" x14ac:dyDescent="0.2">
      <c r="A844" s="1" t="s">
        <v>844</v>
      </c>
    </row>
    <row r="845" spans="1:1" x14ac:dyDescent="0.2">
      <c r="A845" s="1" t="s">
        <v>845</v>
      </c>
    </row>
    <row r="846" spans="1:1" x14ac:dyDescent="0.2">
      <c r="A846" s="1" t="s">
        <v>846</v>
      </c>
    </row>
    <row r="847" spans="1:1" x14ac:dyDescent="0.2">
      <c r="A847" s="1" t="s">
        <v>847</v>
      </c>
    </row>
    <row r="848" spans="1:1" x14ac:dyDescent="0.2">
      <c r="A848" s="1" t="s">
        <v>848</v>
      </c>
    </row>
    <row r="849" spans="1:1" x14ac:dyDescent="0.2">
      <c r="A849" s="1" t="s">
        <v>849</v>
      </c>
    </row>
    <row r="850" spans="1:1" x14ac:dyDescent="0.2">
      <c r="A850" s="1" t="s">
        <v>850</v>
      </c>
    </row>
    <row r="851" spans="1:1" x14ac:dyDescent="0.2">
      <c r="A851" s="1" t="s">
        <v>851</v>
      </c>
    </row>
    <row r="852" spans="1:1" x14ac:dyDescent="0.2">
      <c r="A852" s="1" t="s">
        <v>852</v>
      </c>
    </row>
    <row r="853" spans="1:1" x14ac:dyDescent="0.2">
      <c r="A853" s="1" t="s">
        <v>853</v>
      </c>
    </row>
    <row r="854" spans="1:1" x14ac:dyDescent="0.2">
      <c r="A854" s="1" t="s">
        <v>854</v>
      </c>
    </row>
    <row r="855" spans="1:1" x14ac:dyDescent="0.2">
      <c r="A855" s="1" t="s">
        <v>855</v>
      </c>
    </row>
    <row r="856" spans="1:1" x14ac:dyDescent="0.2">
      <c r="A856" s="1" t="s">
        <v>856</v>
      </c>
    </row>
    <row r="857" spans="1:1" x14ac:dyDescent="0.2">
      <c r="A857" s="1" t="s">
        <v>857</v>
      </c>
    </row>
    <row r="858" spans="1:1" x14ac:dyDescent="0.2">
      <c r="A858" s="1" t="s">
        <v>858</v>
      </c>
    </row>
    <row r="859" spans="1:1" x14ac:dyDescent="0.2">
      <c r="A859" s="1" t="s">
        <v>859</v>
      </c>
    </row>
    <row r="860" spans="1:1" x14ac:dyDescent="0.2">
      <c r="A860" s="1" t="s">
        <v>860</v>
      </c>
    </row>
    <row r="861" spans="1:1" x14ac:dyDescent="0.2">
      <c r="A861" s="1" t="s">
        <v>861</v>
      </c>
    </row>
    <row r="862" spans="1:1" x14ac:dyDescent="0.2">
      <c r="A862" s="1" t="s">
        <v>862</v>
      </c>
    </row>
    <row r="863" spans="1:1" x14ac:dyDescent="0.2">
      <c r="A863" s="1" t="s">
        <v>863</v>
      </c>
    </row>
    <row r="864" spans="1:1" x14ac:dyDescent="0.2">
      <c r="A864" s="1" t="s">
        <v>864</v>
      </c>
    </row>
    <row r="865" spans="1:1" x14ac:dyDescent="0.2">
      <c r="A865" s="1" t="s">
        <v>865</v>
      </c>
    </row>
    <row r="866" spans="1:1" x14ac:dyDescent="0.2">
      <c r="A866" s="1" t="s">
        <v>866</v>
      </c>
    </row>
    <row r="867" spans="1:1" x14ac:dyDescent="0.2">
      <c r="A867" s="1" t="s">
        <v>867</v>
      </c>
    </row>
    <row r="868" spans="1:1" x14ac:dyDescent="0.2">
      <c r="A868" s="1" t="s">
        <v>868</v>
      </c>
    </row>
    <row r="869" spans="1:1" x14ac:dyDescent="0.2">
      <c r="A869" s="1" t="s">
        <v>869</v>
      </c>
    </row>
    <row r="870" spans="1:1" x14ac:dyDescent="0.2">
      <c r="A870" s="1" t="s">
        <v>870</v>
      </c>
    </row>
    <row r="871" spans="1:1" x14ac:dyDescent="0.2">
      <c r="A871" s="1" t="s">
        <v>871</v>
      </c>
    </row>
    <row r="872" spans="1:1" x14ac:dyDescent="0.2">
      <c r="A872" s="1" t="s">
        <v>872</v>
      </c>
    </row>
    <row r="873" spans="1:1" x14ac:dyDescent="0.2">
      <c r="A873" s="1" t="s">
        <v>873</v>
      </c>
    </row>
    <row r="874" spans="1:1" x14ac:dyDescent="0.2">
      <c r="A874" s="1" t="s">
        <v>874</v>
      </c>
    </row>
    <row r="875" spans="1:1" x14ac:dyDescent="0.2">
      <c r="A875" s="1" t="s">
        <v>875</v>
      </c>
    </row>
    <row r="876" spans="1:1" x14ac:dyDescent="0.2">
      <c r="A876" s="1" t="s">
        <v>876</v>
      </c>
    </row>
    <row r="877" spans="1:1" x14ac:dyDescent="0.2">
      <c r="A877" s="1" t="s">
        <v>877</v>
      </c>
    </row>
    <row r="878" spans="1:1" x14ac:dyDescent="0.2">
      <c r="A878" s="1" t="s">
        <v>878</v>
      </c>
    </row>
    <row r="879" spans="1:1" x14ac:dyDescent="0.2">
      <c r="A879" s="1" t="s">
        <v>879</v>
      </c>
    </row>
    <row r="880" spans="1:1" x14ac:dyDescent="0.2">
      <c r="A880" s="1" t="s">
        <v>880</v>
      </c>
    </row>
    <row r="881" spans="1:1" x14ac:dyDescent="0.2">
      <c r="A881" s="1" t="s">
        <v>881</v>
      </c>
    </row>
    <row r="882" spans="1:1" x14ac:dyDescent="0.2">
      <c r="A882" s="1" t="s">
        <v>882</v>
      </c>
    </row>
    <row r="883" spans="1:1" x14ac:dyDescent="0.2">
      <c r="A883" s="1" t="s">
        <v>883</v>
      </c>
    </row>
    <row r="884" spans="1:1" x14ac:dyDescent="0.2">
      <c r="A884" s="1" t="s">
        <v>884</v>
      </c>
    </row>
    <row r="885" spans="1:1" x14ac:dyDescent="0.2">
      <c r="A885" s="1" t="s">
        <v>885</v>
      </c>
    </row>
    <row r="886" spans="1:1" x14ac:dyDescent="0.2">
      <c r="A886" s="1" t="s">
        <v>886</v>
      </c>
    </row>
    <row r="887" spans="1:1" x14ac:dyDescent="0.2">
      <c r="A887" s="1" t="s">
        <v>887</v>
      </c>
    </row>
    <row r="888" spans="1:1" x14ac:dyDescent="0.2">
      <c r="A888" s="1" t="s">
        <v>888</v>
      </c>
    </row>
    <row r="889" spans="1:1" x14ac:dyDescent="0.2">
      <c r="A889" s="1" t="s">
        <v>889</v>
      </c>
    </row>
    <row r="890" spans="1:1" x14ac:dyDescent="0.2">
      <c r="A890" s="1" t="s">
        <v>890</v>
      </c>
    </row>
    <row r="891" spans="1:1" x14ac:dyDescent="0.2">
      <c r="A891" s="1" t="s">
        <v>891</v>
      </c>
    </row>
    <row r="892" spans="1:1" x14ac:dyDescent="0.2">
      <c r="A892" s="1" t="s">
        <v>892</v>
      </c>
    </row>
    <row r="893" spans="1:1" x14ac:dyDescent="0.2">
      <c r="A893" s="1" t="s">
        <v>893</v>
      </c>
    </row>
    <row r="894" spans="1:1" x14ac:dyDescent="0.2">
      <c r="A894" s="1" t="s">
        <v>894</v>
      </c>
    </row>
    <row r="895" spans="1:1" x14ac:dyDescent="0.2">
      <c r="A895" s="1" t="s">
        <v>895</v>
      </c>
    </row>
    <row r="896" spans="1:1" x14ac:dyDescent="0.2">
      <c r="A896" s="1" t="s">
        <v>896</v>
      </c>
    </row>
    <row r="897" spans="1:1" x14ac:dyDescent="0.2">
      <c r="A897" s="1" t="s">
        <v>897</v>
      </c>
    </row>
    <row r="898" spans="1:1" x14ac:dyDescent="0.2">
      <c r="A898" s="1" t="s">
        <v>898</v>
      </c>
    </row>
    <row r="899" spans="1:1" x14ac:dyDescent="0.2">
      <c r="A899" s="1" t="s">
        <v>899</v>
      </c>
    </row>
    <row r="900" spans="1:1" x14ac:dyDescent="0.2">
      <c r="A900" s="1" t="s">
        <v>900</v>
      </c>
    </row>
    <row r="901" spans="1:1" x14ac:dyDescent="0.2">
      <c r="A901" s="1" t="s">
        <v>901</v>
      </c>
    </row>
    <row r="902" spans="1:1" x14ac:dyDescent="0.2">
      <c r="A902" s="1" t="s">
        <v>902</v>
      </c>
    </row>
    <row r="903" spans="1:1" x14ac:dyDescent="0.2">
      <c r="A903" s="1" t="s">
        <v>903</v>
      </c>
    </row>
    <row r="904" spans="1:1" x14ac:dyDescent="0.2">
      <c r="A904" s="1" t="s">
        <v>904</v>
      </c>
    </row>
    <row r="905" spans="1:1" x14ac:dyDescent="0.2">
      <c r="A905" s="1" t="s">
        <v>905</v>
      </c>
    </row>
    <row r="906" spans="1:1" x14ac:dyDescent="0.2">
      <c r="A906" s="1" t="s">
        <v>906</v>
      </c>
    </row>
    <row r="907" spans="1:1" x14ac:dyDescent="0.2">
      <c r="A907" s="1" t="s">
        <v>907</v>
      </c>
    </row>
    <row r="908" spans="1:1" x14ac:dyDescent="0.2">
      <c r="A908" s="1" t="s">
        <v>908</v>
      </c>
    </row>
    <row r="909" spans="1:1" x14ac:dyDescent="0.2">
      <c r="A909" s="1" t="s">
        <v>909</v>
      </c>
    </row>
    <row r="910" spans="1:1" x14ac:dyDescent="0.2">
      <c r="A910" s="1" t="s">
        <v>910</v>
      </c>
    </row>
    <row r="911" spans="1:1" x14ac:dyDescent="0.2">
      <c r="A911" s="1" t="s">
        <v>911</v>
      </c>
    </row>
    <row r="912" spans="1:1" x14ac:dyDescent="0.2">
      <c r="A912" s="1" t="s">
        <v>912</v>
      </c>
    </row>
    <row r="913" spans="1:1" x14ac:dyDescent="0.2">
      <c r="A913" s="1" t="s">
        <v>913</v>
      </c>
    </row>
    <row r="914" spans="1:1" x14ac:dyDescent="0.2">
      <c r="A914" s="1" t="s">
        <v>914</v>
      </c>
    </row>
    <row r="915" spans="1:1" x14ac:dyDescent="0.2">
      <c r="A915" s="1" t="s">
        <v>915</v>
      </c>
    </row>
    <row r="916" spans="1:1" x14ac:dyDescent="0.2">
      <c r="A916" s="1" t="s">
        <v>916</v>
      </c>
    </row>
    <row r="917" spans="1:1" x14ac:dyDescent="0.2">
      <c r="A917" s="1" t="s">
        <v>917</v>
      </c>
    </row>
    <row r="918" spans="1:1" x14ac:dyDescent="0.2">
      <c r="A918" s="1" t="s">
        <v>918</v>
      </c>
    </row>
    <row r="919" spans="1:1" x14ac:dyDescent="0.2">
      <c r="A919" s="1" t="s">
        <v>919</v>
      </c>
    </row>
    <row r="920" spans="1:1" x14ac:dyDescent="0.2">
      <c r="A920" s="1" t="s">
        <v>920</v>
      </c>
    </row>
    <row r="921" spans="1:1" x14ac:dyDescent="0.2">
      <c r="A921" s="1" t="s">
        <v>921</v>
      </c>
    </row>
    <row r="922" spans="1:1" x14ac:dyDescent="0.2">
      <c r="A922" s="1" t="s">
        <v>922</v>
      </c>
    </row>
    <row r="923" spans="1:1" x14ac:dyDescent="0.2">
      <c r="A923" s="1" t="s">
        <v>923</v>
      </c>
    </row>
    <row r="924" spans="1:1" x14ac:dyDescent="0.2">
      <c r="A924" s="1" t="s">
        <v>924</v>
      </c>
    </row>
    <row r="925" spans="1:1" x14ac:dyDescent="0.2">
      <c r="A925" s="1" t="s">
        <v>925</v>
      </c>
    </row>
    <row r="926" spans="1:1" x14ac:dyDescent="0.2">
      <c r="A926" s="1" t="s">
        <v>926</v>
      </c>
    </row>
    <row r="927" spans="1:1" x14ac:dyDescent="0.2">
      <c r="A927" s="1" t="s">
        <v>927</v>
      </c>
    </row>
    <row r="928" spans="1:1" x14ac:dyDescent="0.2">
      <c r="A928" s="1" t="s">
        <v>928</v>
      </c>
    </row>
    <row r="929" spans="1:1" x14ac:dyDescent="0.2">
      <c r="A929" s="1" t="s">
        <v>929</v>
      </c>
    </row>
    <row r="930" spans="1:1" x14ac:dyDescent="0.2">
      <c r="A930" s="1" t="s">
        <v>930</v>
      </c>
    </row>
    <row r="931" spans="1:1" x14ac:dyDescent="0.2">
      <c r="A931" s="1" t="s">
        <v>931</v>
      </c>
    </row>
    <row r="932" spans="1:1" x14ac:dyDescent="0.2">
      <c r="A932" s="1" t="s">
        <v>932</v>
      </c>
    </row>
    <row r="933" spans="1:1" x14ac:dyDescent="0.2">
      <c r="A933" s="1" t="s">
        <v>933</v>
      </c>
    </row>
    <row r="934" spans="1:1" x14ac:dyDescent="0.2">
      <c r="A934" s="1" t="s">
        <v>934</v>
      </c>
    </row>
    <row r="935" spans="1:1" x14ac:dyDescent="0.2">
      <c r="A935" s="1" t="s">
        <v>935</v>
      </c>
    </row>
    <row r="936" spans="1:1" x14ac:dyDescent="0.2">
      <c r="A936" s="1" t="s">
        <v>936</v>
      </c>
    </row>
    <row r="937" spans="1:1" x14ac:dyDescent="0.2">
      <c r="A937" s="1" t="s">
        <v>937</v>
      </c>
    </row>
    <row r="938" spans="1:1" x14ac:dyDescent="0.2">
      <c r="A938" s="1" t="s">
        <v>938</v>
      </c>
    </row>
    <row r="939" spans="1:1" x14ac:dyDescent="0.2">
      <c r="A939" s="1" t="s">
        <v>939</v>
      </c>
    </row>
    <row r="940" spans="1:1" x14ac:dyDescent="0.2">
      <c r="A940" s="1" t="s">
        <v>940</v>
      </c>
    </row>
    <row r="941" spans="1:1" x14ac:dyDescent="0.2">
      <c r="A941" s="1" t="s">
        <v>941</v>
      </c>
    </row>
    <row r="942" spans="1:1" x14ac:dyDescent="0.2">
      <c r="A942" s="1" t="s">
        <v>942</v>
      </c>
    </row>
    <row r="943" spans="1:1" x14ac:dyDescent="0.2">
      <c r="A943" s="1" t="s">
        <v>943</v>
      </c>
    </row>
    <row r="944" spans="1:1" x14ac:dyDescent="0.2">
      <c r="A944" s="1" t="s">
        <v>944</v>
      </c>
    </row>
    <row r="945" spans="1:1" x14ac:dyDescent="0.2">
      <c r="A945" s="1" t="s">
        <v>945</v>
      </c>
    </row>
    <row r="946" spans="1:1" x14ac:dyDescent="0.2">
      <c r="A946" s="1" t="s">
        <v>946</v>
      </c>
    </row>
    <row r="947" spans="1:1" x14ac:dyDescent="0.2">
      <c r="A947" s="1" t="s">
        <v>947</v>
      </c>
    </row>
    <row r="948" spans="1:1" x14ac:dyDescent="0.2">
      <c r="A948" s="1" t="s">
        <v>948</v>
      </c>
    </row>
    <row r="949" spans="1:1" x14ac:dyDescent="0.2">
      <c r="A949" s="1" t="s">
        <v>949</v>
      </c>
    </row>
    <row r="950" spans="1:1" x14ac:dyDescent="0.2">
      <c r="A950" s="1" t="s">
        <v>950</v>
      </c>
    </row>
    <row r="951" spans="1:1" x14ac:dyDescent="0.2">
      <c r="A951" s="1" t="s">
        <v>951</v>
      </c>
    </row>
    <row r="952" spans="1:1" x14ac:dyDescent="0.2">
      <c r="A952" s="1" t="s">
        <v>952</v>
      </c>
    </row>
    <row r="953" spans="1:1" x14ac:dyDescent="0.2">
      <c r="A953" s="1" t="s">
        <v>953</v>
      </c>
    </row>
    <row r="954" spans="1:1" x14ac:dyDescent="0.2">
      <c r="A954" s="1" t="s">
        <v>954</v>
      </c>
    </row>
    <row r="955" spans="1:1" x14ac:dyDescent="0.2">
      <c r="A955" s="1" t="s">
        <v>955</v>
      </c>
    </row>
    <row r="956" spans="1:1" x14ac:dyDescent="0.2">
      <c r="A956" s="1" t="s">
        <v>956</v>
      </c>
    </row>
    <row r="957" spans="1:1" x14ac:dyDescent="0.2">
      <c r="A957" s="1" t="s">
        <v>957</v>
      </c>
    </row>
    <row r="958" spans="1:1" x14ac:dyDescent="0.2">
      <c r="A958" s="1" t="s">
        <v>958</v>
      </c>
    </row>
    <row r="959" spans="1:1" x14ac:dyDescent="0.2">
      <c r="A959" s="1" t="s">
        <v>959</v>
      </c>
    </row>
    <row r="960" spans="1:1" x14ac:dyDescent="0.2">
      <c r="A960" s="1" t="s">
        <v>960</v>
      </c>
    </row>
    <row r="961" spans="1:1" x14ac:dyDescent="0.2">
      <c r="A961" s="1" t="s">
        <v>961</v>
      </c>
    </row>
    <row r="962" spans="1:1" x14ac:dyDescent="0.2">
      <c r="A962" s="1" t="s">
        <v>962</v>
      </c>
    </row>
    <row r="963" spans="1:1" x14ac:dyDescent="0.2">
      <c r="A963" s="1" t="s">
        <v>963</v>
      </c>
    </row>
    <row r="964" spans="1:1" x14ac:dyDescent="0.2">
      <c r="A964" s="1" t="s">
        <v>964</v>
      </c>
    </row>
    <row r="965" spans="1:1" x14ac:dyDescent="0.2">
      <c r="A965" s="1" t="s">
        <v>965</v>
      </c>
    </row>
    <row r="966" spans="1:1" x14ac:dyDescent="0.2">
      <c r="A966" s="1" t="s">
        <v>966</v>
      </c>
    </row>
    <row r="967" spans="1:1" x14ac:dyDescent="0.2">
      <c r="A967" s="1" t="s">
        <v>967</v>
      </c>
    </row>
    <row r="968" spans="1:1" x14ac:dyDescent="0.2">
      <c r="A968" s="1" t="s">
        <v>968</v>
      </c>
    </row>
    <row r="969" spans="1:1" x14ac:dyDescent="0.2">
      <c r="A969" s="1" t="s">
        <v>969</v>
      </c>
    </row>
    <row r="970" spans="1:1" x14ac:dyDescent="0.2">
      <c r="A970" s="1" t="s">
        <v>970</v>
      </c>
    </row>
    <row r="971" spans="1:1" x14ac:dyDescent="0.2">
      <c r="A971" s="1" t="s">
        <v>971</v>
      </c>
    </row>
    <row r="972" spans="1:1" x14ac:dyDescent="0.2">
      <c r="A972" s="1" t="s">
        <v>972</v>
      </c>
    </row>
    <row r="973" spans="1:1" x14ac:dyDescent="0.2">
      <c r="A973" s="1" t="s">
        <v>973</v>
      </c>
    </row>
    <row r="974" spans="1:1" x14ac:dyDescent="0.2">
      <c r="A974" s="1" t="s">
        <v>974</v>
      </c>
    </row>
    <row r="975" spans="1:1" x14ac:dyDescent="0.2">
      <c r="A975" s="1" t="s">
        <v>975</v>
      </c>
    </row>
    <row r="976" spans="1:1" x14ac:dyDescent="0.2">
      <c r="A976" s="1" t="s">
        <v>976</v>
      </c>
    </row>
    <row r="977" spans="1:1" x14ac:dyDescent="0.2">
      <c r="A977" s="1" t="s">
        <v>977</v>
      </c>
    </row>
    <row r="978" spans="1:1" x14ac:dyDescent="0.2">
      <c r="A978" s="1" t="s">
        <v>978</v>
      </c>
    </row>
    <row r="979" spans="1:1" x14ac:dyDescent="0.2">
      <c r="A979" s="1" t="s">
        <v>979</v>
      </c>
    </row>
    <row r="980" spans="1:1" x14ac:dyDescent="0.2">
      <c r="A980" s="1" t="s">
        <v>980</v>
      </c>
    </row>
    <row r="981" spans="1:1" x14ac:dyDescent="0.2">
      <c r="A981" s="1" t="s">
        <v>981</v>
      </c>
    </row>
    <row r="982" spans="1:1" x14ac:dyDescent="0.2">
      <c r="A982" s="1" t="s">
        <v>982</v>
      </c>
    </row>
    <row r="983" spans="1:1" x14ac:dyDescent="0.2">
      <c r="A983" s="1" t="s">
        <v>983</v>
      </c>
    </row>
    <row r="984" spans="1:1" x14ac:dyDescent="0.2">
      <c r="A984" s="1" t="s">
        <v>984</v>
      </c>
    </row>
    <row r="985" spans="1:1" x14ac:dyDescent="0.2">
      <c r="A985" s="1" t="s">
        <v>985</v>
      </c>
    </row>
    <row r="986" spans="1:1" x14ac:dyDescent="0.2">
      <c r="A986" s="1" t="s">
        <v>986</v>
      </c>
    </row>
    <row r="987" spans="1:1" x14ac:dyDescent="0.2">
      <c r="A987" s="1" t="s">
        <v>987</v>
      </c>
    </row>
    <row r="988" spans="1:1" x14ac:dyDescent="0.2">
      <c r="A988" s="1" t="s">
        <v>988</v>
      </c>
    </row>
    <row r="989" spans="1:1" x14ac:dyDescent="0.2">
      <c r="A989" s="1" t="s">
        <v>989</v>
      </c>
    </row>
    <row r="990" spans="1:1" x14ac:dyDescent="0.2">
      <c r="A990" s="1" t="s">
        <v>990</v>
      </c>
    </row>
    <row r="991" spans="1:1" x14ac:dyDescent="0.2">
      <c r="A991" s="1" t="s">
        <v>991</v>
      </c>
    </row>
    <row r="992" spans="1:1" x14ac:dyDescent="0.2">
      <c r="A992" s="1" t="s">
        <v>992</v>
      </c>
    </row>
    <row r="993" spans="1:1" x14ac:dyDescent="0.2">
      <c r="A993" s="1" t="s">
        <v>993</v>
      </c>
    </row>
    <row r="994" spans="1:1" x14ac:dyDescent="0.2">
      <c r="A994" s="1" t="s">
        <v>994</v>
      </c>
    </row>
    <row r="995" spans="1:1" x14ac:dyDescent="0.2">
      <c r="A995" s="1" t="s">
        <v>995</v>
      </c>
    </row>
    <row r="996" spans="1:1" x14ac:dyDescent="0.2">
      <c r="A996" s="1" t="s">
        <v>996</v>
      </c>
    </row>
    <row r="997" spans="1:1" x14ac:dyDescent="0.2">
      <c r="A997" s="1" t="s">
        <v>997</v>
      </c>
    </row>
    <row r="998" spans="1:1" x14ac:dyDescent="0.2">
      <c r="A998" s="1" t="s">
        <v>998</v>
      </c>
    </row>
    <row r="999" spans="1:1" x14ac:dyDescent="0.2">
      <c r="A999" s="1" t="s">
        <v>999</v>
      </c>
    </row>
    <row r="1000" spans="1:1" x14ac:dyDescent="0.2">
      <c r="A1000" s="1" t="s">
        <v>1000</v>
      </c>
    </row>
    <row r="1001" spans="1:1" x14ac:dyDescent="0.2">
      <c r="A1001" s="1" t="s">
        <v>1001</v>
      </c>
    </row>
    <row r="1002" spans="1:1" x14ac:dyDescent="0.2">
      <c r="A1002" s="1" t="s">
        <v>1002</v>
      </c>
    </row>
    <row r="1003" spans="1:1" x14ac:dyDescent="0.2">
      <c r="A1003" s="1" t="s">
        <v>1003</v>
      </c>
    </row>
    <row r="1004" spans="1:1" x14ac:dyDescent="0.2">
      <c r="A1004" s="1" t="s">
        <v>1004</v>
      </c>
    </row>
    <row r="1005" spans="1:1" x14ac:dyDescent="0.2">
      <c r="A1005" s="1" t="s">
        <v>1005</v>
      </c>
    </row>
    <row r="1006" spans="1:1" x14ac:dyDescent="0.2">
      <c r="A1006" s="1" t="s">
        <v>1006</v>
      </c>
    </row>
    <row r="1007" spans="1:1" x14ac:dyDescent="0.2">
      <c r="A1007" s="1" t="s">
        <v>1007</v>
      </c>
    </row>
    <row r="1008" spans="1:1" x14ac:dyDescent="0.2">
      <c r="A1008" s="1" t="s">
        <v>1008</v>
      </c>
    </row>
    <row r="1009" spans="1:1" x14ac:dyDescent="0.2">
      <c r="A1009" s="1" t="s">
        <v>1009</v>
      </c>
    </row>
    <row r="1010" spans="1:1" x14ac:dyDescent="0.2">
      <c r="A1010" s="1" t="s">
        <v>1010</v>
      </c>
    </row>
    <row r="1011" spans="1:1" x14ac:dyDescent="0.2">
      <c r="A1011" s="1" t="s">
        <v>1011</v>
      </c>
    </row>
    <row r="1012" spans="1:1" x14ac:dyDescent="0.2">
      <c r="A1012" s="1" t="s">
        <v>1012</v>
      </c>
    </row>
    <row r="1013" spans="1:1" x14ac:dyDescent="0.2">
      <c r="A1013" s="1" t="s">
        <v>1013</v>
      </c>
    </row>
    <row r="1014" spans="1:1" x14ac:dyDescent="0.2">
      <c r="A1014" s="1" t="s">
        <v>1014</v>
      </c>
    </row>
    <row r="1015" spans="1:1" x14ac:dyDescent="0.2">
      <c r="A1015" s="1" t="s">
        <v>1015</v>
      </c>
    </row>
    <row r="1016" spans="1:1" x14ac:dyDescent="0.2">
      <c r="A1016" s="1" t="s">
        <v>1016</v>
      </c>
    </row>
    <row r="1017" spans="1:1" x14ac:dyDescent="0.2">
      <c r="A1017" s="1" t="s">
        <v>1017</v>
      </c>
    </row>
    <row r="1018" spans="1:1" x14ac:dyDescent="0.2">
      <c r="A1018" s="1" t="s">
        <v>1018</v>
      </c>
    </row>
    <row r="1019" spans="1:1" x14ac:dyDescent="0.2">
      <c r="A1019" s="1" t="s">
        <v>1019</v>
      </c>
    </row>
    <row r="1020" spans="1:1" x14ac:dyDescent="0.2">
      <c r="A1020" s="1" t="s">
        <v>1020</v>
      </c>
    </row>
    <row r="1021" spans="1:1" x14ac:dyDescent="0.2">
      <c r="A1021" s="1" t="s">
        <v>1021</v>
      </c>
    </row>
    <row r="1022" spans="1:1" x14ac:dyDescent="0.2">
      <c r="A1022" s="1" t="s">
        <v>1022</v>
      </c>
    </row>
    <row r="1023" spans="1:1" x14ac:dyDescent="0.2">
      <c r="A1023" s="1" t="s">
        <v>1023</v>
      </c>
    </row>
    <row r="1024" spans="1:1" x14ac:dyDescent="0.2">
      <c r="A1024" s="1" t="s">
        <v>1024</v>
      </c>
    </row>
    <row r="1025" spans="1:1" x14ac:dyDescent="0.2">
      <c r="A1025" s="1" t="s">
        <v>1025</v>
      </c>
    </row>
    <row r="1026" spans="1:1" x14ac:dyDescent="0.2">
      <c r="A1026" s="1" t="s">
        <v>1026</v>
      </c>
    </row>
    <row r="1027" spans="1:1" x14ac:dyDescent="0.2">
      <c r="A1027" s="1" t="s">
        <v>1027</v>
      </c>
    </row>
    <row r="1028" spans="1:1" x14ac:dyDescent="0.2">
      <c r="A1028" s="1" t="s">
        <v>1028</v>
      </c>
    </row>
    <row r="1029" spans="1:1" x14ac:dyDescent="0.2">
      <c r="A1029" s="1" t="s">
        <v>1029</v>
      </c>
    </row>
    <row r="1030" spans="1:1" x14ac:dyDescent="0.2">
      <c r="A1030" s="1" t="s">
        <v>1030</v>
      </c>
    </row>
    <row r="1031" spans="1:1" x14ac:dyDescent="0.2">
      <c r="A1031" s="1" t="s">
        <v>1031</v>
      </c>
    </row>
    <row r="1032" spans="1:1" x14ac:dyDescent="0.2">
      <c r="A1032" s="1" t="s">
        <v>1032</v>
      </c>
    </row>
    <row r="1033" spans="1:1" x14ac:dyDescent="0.2">
      <c r="A1033" s="1" t="s">
        <v>1033</v>
      </c>
    </row>
    <row r="1034" spans="1:1" x14ac:dyDescent="0.2">
      <c r="A1034" s="1" t="s">
        <v>1034</v>
      </c>
    </row>
    <row r="1035" spans="1:1" x14ac:dyDescent="0.2">
      <c r="A1035" s="1" t="s">
        <v>1035</v>
      </c>
    </row>
    <row r="1036" spans="1:1" x14ac:dyDescent="0.2">
      <c r="A1036" s="1" t="s">
        <v>1036</v>
      </c>
    </row>
    <row r="1037" spans="1:1" x14ac:dyDescent="0.2">
      <c r="A1037" s="1" t="s">
        <v>1037</v>
      </c>
    </row>
    <row r="1038" spans="1:1" x14ac:dyDescent="0.2">
      <c r="A1038" s="1" t="s">
        <v>1038</v>
      </c>
    </row>
    <row r="1039" spans="1:1" x14ac:dyDescent="0.2">
      <c r="A1039" s="1" t="s">
        <v>1039</v>
      </c>
    </row>
    <row r="1040" spans="1:1" x14ac:dyDescent="0.2">
      <c r="A1040" s="1" t="s">
        <v>1040</v>
      </c>
    </row>
    <row r="1041" spans="1:1" x14ac:dyDescent="0.2">
      <c r="A1041" s="1" t="s">
        <v>1041</v>
      </c>
    </row>
    <row r="1042" spans="1:1" x14ac:dyDescent="0.2">
      <c r="A1042" s="1" t="s">
        <v>1042</v>
      </c>
    </row>
    <row r="1043" spans="1:1" x14ac:dyDescent="0.2">
      <c r="A1043" s="1" t="s">
        <v>1043</v>
      </c>
    </row>
    <row r="1044" spans="1:1" x14ac:dyDescent="0.2">
      <c r="A1044" s="1" t="s">
        <v>1044</v>
      </c>
    </row>
    <row r="1045" spans="1:1" x14ac:dyDescent="0.2">
      <c r="A1045" s="1" t="s">
        <v>1045</v>
      </c>
    </row>
    <row r="1046" spans="1:1" x14ac:dyDescent="0.2">
      <c r="A1046" s="1" t="s">
        <v>1046</v>
      </c>
    </row>
    <row r="1047" spans="1:1" x14ac:dyDescent="0.2">
      <c r="A1047" s="1" t="s">
        <v>1047</v>
      </c>
    </row>
    <row r="1048" spans="1:1" x14ac:dyDescent="0.2">
      <c r="A1048" s="1" t="s">
        <v>1048</v>
      </c>
    </row>
    <row r="1049" spans="1:1" x14ac:dyDescent="0.2">
      <c r="A1049" s="1" t="s">
        <v>1049</v>
      </c>
    </row>
    <row r="1050" spans="1:1" x14ac:dyDescent="0.2">
      <c r="A1050" s="1" t="s">
        <v>1050</v>
      </c>
    </row>
    <row r="1051" spans="1:1" x14ac:dyDescent="0.2">
      <c r="A1051" s="1" t="s">
        <v>1051</v>
      </c>
    </row>
    <row r="1052" spans="1:1" x14ac:dyDescent="0.2">
      <c r="A1052" s="1" t="s">
        <v>1052</v>
      </c>
    </row>
    <row r="1053" spans="1:1" x14ac:dyDescent="0.2">
      <c r="A1053" s="1" t="s">
        <v>1053</v>
      </c>
    </row>
    <row r="1054" spans="1:1" x14ac:dyDescent="0.2">
      <c r="A1054" s="1" t="s">
        <v>1054</v>
      </c>
    </row>
    <row r="1055" spans="1:1" x14ac:dyDescent="0.2">
      <c r="A1055" s="1" t="s">
        <v>1055</v>
      </c>
    </row>
    <row r="1056" spans="1:1" x14ac:dyDescent="0.2">
      <c r="A1056" s="1" t="s">
        <v>1056</v>
      </c>
    </row>
    <row r="1057" spans="1:1" x14ac:dyDescent="0.2">
      <c r="A1057" s="1" t="s">
        <v>1057</v>
      </c>
    </row>
    <row r="1058" spans="1:1" x14ac:dyDescent="0.2">
      <c r="A1058" s="1" t="s">
        <v>1058</v>
      </c>
    </row>
    <row r="1059" spans="1:1" x14ac:dyDescent="0.2">
      <c r="A1059" s="1" t="s">
        <v>1059</v>
      </c>
    </row>
    <row r="1060" spans="1:1" x14ac:dyDescent="0.2">
      <c r="A1060" s="1" t="s">
        <v>1060</v>
      </c>
    </row>
    <row r="1061" spans="1:1" x14ac:dyDescent="0.2">
      <c r="A1061" s="1" t="s">
        <v>1061</v>
      </c>
    </row>
    <row r="1062" spans="1:1" x14ac:dyDescent="0.2">
      <c r="A1062" s="1" t="s">
        <v>1062</v>
      </c>
    </row>
    <row r="1063" spans="1:1" x14ac:dyDescent="0.2">
      <c r="A1063" s="1" t="s">
        <v>1063</v>
      </c>
    </row>
    <row r="1064" spans="1:1" x14ac:dyDescent="0.2">
      <c r="A1064" s="1" t="s">
        <v>1064</v>
      </c>
    </row>
    <row r="1065" spans="1:1" x14ac:dyDescent="0.2">
      <c r="A1065" s="1" t="s">
        <v>1065</v>
      </c>
    </row>
    <row r="1066" spans="1:1" x14ac:dyDescent="0.2">
      <c r="A1066" s="1" t="s">
        <v>1066</v>
      </c>
    </row>
    <row r="1067" spans="1:1" x14ac:dyDescent="0.2">
      <c r="A1067" s="1" t="s">
        <v>1067</v>
      </c>
    </row>
    <row r="1068" spans="1:1" x14ac:dyDescent="0.2">
      <c r="A1068" s="1" t="s">
        <v>1068</v>
      </c>
    </row>
    <row r="1069" spans="1:1" x14ac:dyDescent="0.2">
      <c r="A1069" s="1" t="s">
        <v>1069</v>
      </c>
    </row>
    <row r="1070" spans="1:1" x14ac:dyDescent="0.2">
      <c r="A1070" s="1" t="s">
        <v>1070</v>
      </c>
    </row>
    <row r="1071" spans="1:1" x14ac:dyDescent="0.2">
      <c r="A1071" s="1" t="s">
        <v>1071</v>
      </c>
    </row>
    <row r="1072" spans="1:1" x14ac:dyDescent="0.2">
      <c r="A1072" s="1" t="s">
        <v>1072</v>
      </c>
    </row>
    <row r="1073" spans="1:1" x14ac:dyDescent="0.2">
      <c r="A1073" s="1" t="s">
        <v>1073</v>
      </c>
    </row>
    <row r="1074" spans="1:1" x14ac:dyDescent="0.2">
      <c r="A1074" s="1" t="s">
        <v>1074</v>
      </c>
    </row>
    <row r="1075" spans="1:1" x14ac:dyDescent="0.2">
      <c r="A1075" s="1" t="s">
        <v>1075</v>
      </c>
    </row>
    <row r="1076" spans="1:1" x14ac:dyDescent="0.2">
      <c r="A1076" s="1" t="s">
        <v>1076</v>
      </c>
    </row>
    <row r="1077" spans="1:1" x14ac:dyDescent="0.2">
      <c r="A1077" s="1" t="s">
        <v>1077</v>
      </c>
    </row>
    <row r="1078" spans="1:1" x14ac:dyDescent="0.2">
      <c r="A1078" s="1" t="s">
        <v>1078</v>
      </c>
    </row>
    <row r="1079" spans="1:1" x14ac:dyDescent="0.2">
      <c r="A1079" s="1" t="s">
        <v>1079</v>
      </c>
    </row>
    <row r="1080" spans="1:1" x14ac:dyDescent="0.2">
      <c r="A1080" s="1" t="s">
        <v>1080</v>
      </c>
    </row>
    <row r="1081" spans="1:1" x14ac:dyDescent="0.2">
      <c r="A1081" s="1" t="s">
        <v>1081</v>
      </c>
    </row>
    <row r="1082" spans="1:1" x14ac:dyDescent="0.2">
      <c r="A1082" s="1" t="s">
        <v>1082</v>
      </c>
    </row>
    <row r="1083" spans="1:1" x14ac:dyDescent="0.2">
      <c r="A1083" s="1" t="s">
        <v>1083</v>
      </c>
    </row>
    <row r="1084" spans="1:1" x14ac:dyDescent="0.2">
      <c r="A1084" s="1" t="s">
        <v>1084</v>
      </c>
    </row>
    <row r="1085" spans="1:1" x14ac:dyDescent="0.2">
      <c r="A1085" s="1" t="s">
        <v>1085</v>
      </c>
    </row>
    <row r="1086" spans="1:1" x14ac:dyDescent="0.2">
      <c r="A1086" s="1" t="s">
        <v>1086</v>
      </c>
    </row>
    <row r="1087" spans="1:1" x14ac:dyDescent="0.2">
      <c r="A1087" s="1" t="s">
        <v>1087</v>
      </c>
    </row>
    <row r="1088" spans="1:1" x14ac:dyDescent="0.2">
      <c r="A1088" s="1" t="s">
        <v>1088</v>
      </c>
    </row>
    <row r="1089" spans="1:1" x14ac:dyDescent="0.2">
      <c r="A1089" s="1" t="s">
        <v>1089</v>
      </c>
    </row>
    <row r="1090" spans="1:1" x14ac:dyDescent="0.2">
      <c r="A1090" s="1" t="s">
        <v>1090</v>
      </c>
    </row>
    <row r="1091" spans="1:1" x14ac:dyDescent="0.2">
      <c r="A1091" s="1" t="s">
        <v>1091</v>
      </c>
    </row>
    <row r="1092" spans="1:1" x14ac:dyDescent="0.2">
      <c r="A1092" s="1" t="s">
        <v>1092</v>
      </c>
    </row>
    <row r="1093" spans="1:1" x14ac:dyDescent="0.2">
      <c r="A1093" s="1" t="s">
        <v>1093</v>
      </c>
    </row>
    <row r="1094" spans="1:1" x14ac:dyDescent="0.2">
      <c r="A1094" s="1" t="s">
        <v>1094</v>
      </c>
    </row>
    <row r="1095" spans="1:1" x14ac:dyDescent="0.2">
      <c r="A1095" s="1" t="s">
        <v>1095</v>
      </c>
    </row>
    <row r="1096" spans="1:1" x14ac:dyDescent="0.2">
      <c r="A1096" s="1" t="s">
        <v>1096</v>
      </c>
    </row>
    <row r="1097" spans="1:1" x14ac:dyDescent="0.2">
      <c r="A1097" s="1" t="s">
        <v>1097</v>
      </c>
    </row>
    <row r="1098" spans="1:1" x14ac:dyDescent="0.2">
      <c r="A1098" s="1" t="s">
        <v>1098</v>
      </c>
    </row>
    <row r="1099" spans="1:1" x14ac:dyDescent="0.2">
      <c r="A1099" s="1" t="s">
        <v>1099</v>
      </c>
    </row>
    <row r="1100" spans="1:1" x14ac:dyDescent="0.2">
      <c r="A1100" s="1" t="s">
        <v>1100</v>
      </c>
    </row>
    <row r="1101" spans="1:1" x14ac:dyDescent="0.2">
      <c r="A1101" s="1" t="s">
        <v>1101</v>
      </c>
    </row>
    <row r="1102" spans="1:1" x14ac:dyDescent="0.2">
      <c r="A1102" s="1" t="s">
        <v>1102</v>
      </c>
    </row>
    <row r="1103" spans="1:1" x14ac:dyDescent="0.2">
      <c r="A1103" s="1" t="s">
        <v>1103</v>
      </c>
    </row>
    <row r="1104" spans="1:1" x14ac:dyDescent="0.2">
      <c r="A1104" s="1" t="s">
        <v>1104</v>
      </c>
    </row>
    <row r="1105" spans="1:1" x14ac:dyDescent="0.2">
      <c r="A1105" s="1" t="s">
        <v>1105</v>
      </c>
    </row>
    <row r="1106" spans="1:1" x14ac:dyDescent="0.2">
      <c r="A1106" s="1" t="s">
        <v>1106</v>
      </c>
    </row>
    <row r="1107" spans="1:1" x14ac:dyDescent="0.2">
      <c r="A1107" s="1" t="s">
        <v>1107</v>
      </c>
    </row>
    <row r="1108" spans="1:1" x14ac:dyDescent="0.2">
      <c r="A1108" s="1" t="s">
        <v>1108</v>
      </c>
    </row>
    <row r="1109" spans="1:1" x14ac:dyDescent="0.2">
      <c r="A1109" s="1" t="s">
        <v>1109</v>
      </c>
    </row>
    <row r="1110" spans="1:1" x14ac:dyDescent="0.2">
      <c r="A1110" s="1" t="s">
        <v>1110</v>
      </c>
    </row>
    <row r="1111" spans="1:1" x14ac:dyDescent="0.2">
      <c r="A1111" s="1" t="s">
        <v>1111</v>
      </c>
    </row>
    <row r="1112" spans="1:1" x14ac:dyDescent="0.2">
      <c r="A1112" s="1" t="s">
        <v>1112</v>
      </c>
    </row>
    <row r="1113" spans="1:1" x14ac:dyDescent="0.2">
      <c r="A1113" s="1" t="s">
        <v>1113</v>
      </c>
    </row>
    <row r="1114" spans="1:1" x14ac:dyDescent="0.2">
      <c r="A1114" s="1" t="s">
        <v>1114</v>
      </c>
    </row>
    <row r="1115" spans="1:1" x14ac:dyDescent="0.2">
      <c r="A1115" s="1" t="s">
        <v>1115</v>
      </c>
    </row>
    <row r="1116" spans="1:1" x14ac:dyDescent="0.2">
      <c r="A1116" s="1" t="s">
        <v>1116</v>
      </c>
    </row>
    <row r="1117" spans="1:1" x14ac:dyDescent="0.2">
      <c r="A1117" s="1" t="s">
        <v>1117</v>
      </c>
    </row>
    <row r="1118" spans="1:1" x14ac:dyDescent="0.2">
      <c r="A1118" s="1" t="s">
        <v>1118</v>
      </c>
    </row>
    <row r="1119" spans="1:1" x14ac:dyDescent="0.2">
      <c r="A1119" s="1" t="s">
        <v>1119</v>
      </c>
    </row>
    <row r="1120" spans="1:1" x14ac:dyDescent="0.2">
      <c r="A1120" s="1" t="s">
        <v>1120</v>
      </c>
    </row>
    <row r="1121" spans="1:1" x14ac:dyDescent="0.2">
      <c r="A1121" s="1" t="s">
        <v>1121</v>
      </c>
    </row>
    <row r="1122" spans="1:1" x14ac:dyDescent="0.2">
      <c r="A1122" s="1" t="s">
        <v>1122</v>
      </c>
    </row>
    <row r="1123" spans="1:1" x14ac:dyDescent="0.2">
      <c r="A1123" s="1" t="s">
        <v>1123</v>
      </c>
    </row>
    <row r="1124" spans="1:1" x14ac:dyDescent="0.2">
      <c r="A1124" s="1" t="s">
        <v>1124</v>
      </c>
    </row>
    <row r="1125" spans="1:1" x14ac:dyDescent="0.2">
      <c r="A1125" s="1" t="s">
        <v>1125</v>
      </c>
    </row>
    <row r="1126" spans="1:1" x14ac:dyDescent="0.2">
      <c r="A1126" s="1" t="s">
        <v>1126</v>
      </c>
    </row>
    <row r="1127" spans="1:1" x14ac:dyDescent="0.2">
      <c r="A1127" s="1" t="s">
        <v>1127</v>
      </c>
    </row>
    <row r="1128" spans="1:1" x14ac:dyDescent="0.2">
      <c r="A1128" s="1" t="s">
        <v>1128</v>
      </c>
    </row>
    <row r="1129" spans="1:1" x14ac:dyDescent="0.2">
      <c r="A1129" s="1" t="s">
        <v>1129</v>
      </c>
    </row>
    <row r="1130" spans="1:1" x14ac:dyDescent="0.2">
      <c r="A1130" s="1" t="s">
        <v>1130</v>
      </c>
    </row>
    <row r="1131" spans="1:1" x14ac:dyDescent="0.2">
      <c r="A1131" s="1" t="s">
        <v>1131</v>
      </c>
    </row>
    <row r="1132" spans="1:1" x14ac:dyDescent="0.2">
      <c r="A1132" s="1" t="s">
        <v>1132</v>
      </c>
    </row>
    <row r="1133" spans="1:1" x14ac:dyDescent="0.2">
      <c r="A1133" s="1" t="s">
        <v>1133</v>
      </c>
    </row>
    <row r="1134" spans="1:1" x14ac:dyDescent="0.2">
      <c r="A1134" s="1" t="s">
        <v>1134</v>
      </c>
    </row>
    <row r="1135" spans="1:1" x14ac:dyDescent="0.2">
      <c r="A1135" s="1" t="s">
        <v>1135</v>
      </c>
    </row>
    <row r="1136" spans="1:1" x14ac:dyDescent="0.2">
      <c r="A1136" s="1" t="s">
        <v>1136</v>
      </c>
    </row>
    <row r="1137" spans="1:1" x14ac:dyDescent="0.2">
      <c r="A1137" s="1" t="s">
        <v>1137</v>
      </c>
    </row>
    <row r="1138" spans="1:1" x14ac:dyDescent="0.2">
      <c r="A1138" s="1" t="s">
        <v>1138</v>
      </c>
    </row>
    <row r="1139" spans="1:1" x14ac:dyDescent="0.2">
      <c r="A1139" s="1" t="s">
        <v>1139</v>
      </c>
    </row>
    <row r="1140" spans="1:1" x14ac:dyDescent="0.2">
      <c r="A1140" s="1" t="s">
        <v>1140</v>
      </c>
    </row>
    <row r="1141" spans="1:1" x14ac:dyDescent="0.2">
      <c r="A1141" s="1" t="s">
        <v>1141</v>
      </c>
    </row>
    <row r="1142" spans="1:1" x14ac:dyDescent="0.2">
      <c r="A1142" s="1" t="s">
        <v>1142</v>
      </c>
    </row>
    <row r="1143" spans="1:1" x14ac:dyDescent="0.2">
      <c r="A1143" s="1" t="s">
        <v>1143</v>
      </c>
    </row>
    <row r="1144" spans="1:1" x14ac:dyDescent="0.2">
      <c r="A1144" s="1" t="s">
        <v>1144</v>
      </c>
    </row>
    <row r="1145" spans="1:1" x14ac:dyDescent="0.2">
      <c r="A1145" s="1" t="s">
        <v>1145</v>
      </c>
    </row>
    <row r="1146" spans="1:1" x14ac:dyDescent="0.2">
      <c r="A1146" s="1" t="s">
        <v>1146</v>
      </c>
    </row>
    <row r="1147" spans="1:1" x14ac:dyDescent="0.2">
      <c r="A1147" s="1" t="s">
        <v>1147</v>
      </c>
    </row>
    <row r="1148" spans="1:1" x14ac:dyDescent="0.2">
      <c r="A1148" s="1" t="s">
        <v>1148</v>
      </c>
    </row>
    <row r="1149" spans="1:1" x14ac:dyDescent="0.2">
      <c r="A1149" s="1" t="s">
        <v>1149</v>
      </c>
    </row>
    <row r="1150" spans="1:1" x14ac:dyDescent="0.2">
      <c r="A1150" s="1" t="s">
        <v>1150</v>
      </c>
    </row>
    <row r="1151" spans="1:1" x14ac:dyDescent="0.2">
      <c r="A1151" s="1" t="s">
        <v>1151</v>
      </c>
    </row>
    <row r="1152" spans="1:1" x14ac:dyDescent="0.2">
      <c r="A1152" s="1" t="s">
        <v>1152</v>
      </c>
    </row>
    <row r="1153" spans="1:1" x14ac:dyDescent="0.2">
      <c r="A1153" s="1" t="s">
        <v>1153</v>
      </c>
    </row>
    <row r="1154" spans="1:1" x14ac:dyDescent="0.2">
      <c r="A1154" s="1" t="s">
        <v>1154</v>
      </c>
    </row>
    <row r="1155" spans="1:1" x14ac:dyDescent="0.2">
      <c r="A1155" s="1" t="s">
        <v>1155</v>
      </c>
    </row>
    <row r="1156" spans="1:1" x14ac:dyDescent="0.2">
      <c r="A1156" s="1" t="s">
        <v>1156</v>
      </c>
    </row>
    <row r="1157" spans="1:1" x14ac:dyDescent="0.2">
      <c r="A1157" s="1" t="s">
        <v>1157</v>
      </c>
    </row>
    <row r="1158" spans="1:1" x14ac:dyDescent="0.2">
      <c r="A1158" s="1" t="s">
        <v>1158</v>
      </c>
    </row>
    <row r="1159" spans="1:1" x14ac:dyDescent="0.2">
      <c r="A1159" s="1" t="s">
        <v>1159</v>
      </c>
    </row>
    <row r="1160" spans="1:1" x14ac:dyDescent="0.2">
      <c r="A1160" s="1" t="s">
        <v>1160</v>
      </c>
    </row>
    <row r="1161" spans="1:1" x14ac:dyDescent="0.2">
      <c r="A1161" s="1" t="s">
        <v>1161</v>
      </c>
    </row>
    <row r="1162" spans="1:1" x14ac:dyDescent="0.2">
      <c r="A1162" s="1" t="s">
        <v>1162</v>
      </c>
    </row>
    <row r="1163" spans="1:1" x14ac:dyDescent="0.2">
      <c r="A1163" s="1" t="s">
        <v>1163</v>
      </c>
    </row>
    <row r="1164" spans="1:1" x14ac:dyDescent="0.2">
      <c r="A1164" s="1" t="s">
        <v>1164</v>
      </c>
    </row>
    <row r="1165" spans="1:1" x14ac:dyDescent="0.2">
      <c r="A1165" s="1" t="s">
        <v>1165</v>
      </c>
    </row>
    <row r="1166" spans="1:1" x14ac:dyDescent="0.2">
      <c r="A1166" s="1" t="s">
        <v>1166</v>
      </c>
    </row>
    <row r="1167" spans="1:1" x14ac:dyDescent="0.2">
      <c r="A1167" s="1" t="s">
        <v>1167</v>
      </c>
    </row>
    <row r="1168" spans="1:1" x14ac:dyDescent="0.2">
      <c r="A1168" s="1" t="s">
        <v>1168</v>
      </c>
    </row>
    <row r="1169" spans="1:1" x14ac:dyDescent="0.2">
      <c r="A1169" s="1" t="s">
        <v>1169</v>
      </c>
    </row>
    <row r="1170" spans="1:1" x14ac:dyDescent="0.2">
      <c r="A1170" s="1" t="s">
        <v>1170</v>
      </c>
    </row>
    <row r="1171" spans="1:1" x14ac:dyDescent="0.2">
      <c r="A1171" s="1" t="s">
        <v>1171</v>
      </c>
    </row>
    <row r="1172" spans="1:1" x14ac:dyDescent="0.2">
      <c r="A1172" s="1" t="s">
        <v>1172</v>
      </c>
    </row>
    <row r="1173" spans="1:1" x14ac:dyDescent="0.2">
      <c r="A1173" s="1" t="s">
        <v>1173</v>
      </c>
    </row>
    <row r="1174" spans="1:1" x14ac:dyDescent="0.2">
      <c r="A1174" s="1" t="s">
        <v>1174</v>
      </c>
    </row>
    <row r="1175" spans="1:1" x14ac:dyDescent="0.2">
      <c r="A1175" s="1" t="s">
        <v>1175</v>
      </c>
    </row>
    <row r="1176" spans="1:1" x14ac:dyDescent="0.2">
      <c r="A1176" s="1" t="s">
        <v>1176</v>
      </c>
    </row>
    <row r="1177" spans="1:1" x14ac:dyDescent="0.2">
      <c r="A1177" s="1" t="s">
        <v>1177</v>
      </c>
    </row>
    <row r="1178" spans="1:1" x14ac:dyDescent="0.2">
      <c r="A1178" s="1" t="s">
        <v>1178</v>
      </c>
    </row>
    <row r="1179" spans="1:1" x14ac:dyDescent="0.2">
      <c r="A1179" s="1" t="s">
        <v>1179</v>
      </c>
    </row>
    <row r="1180" spans="1:1" x14ac:dyDescent="0.2">
      <c r="A1180" s="1" t="s">
        <v>1180</v>
      </c>
    </row>
    <row r="1181" spans="1:1" x14ac:dyDescent="0.2">
      <c r="A1181" s="1" t="s">
        <v>1181</v>
      </c>
    </row>
    <row r="1182" spans="1:1" x14ac:dyDescent="0.2">
      <c r="A1182" s="1" t="s">
        <v>1182</v>
      </c>
    </row>
    <row r="1183" spans="1:1" x14ac:dyDescent="0.2">
      <c r="A1183" s="1" t="s">
        <v>1183</v>
      </c>
    </row>
    <row r="1184" spans="1:1" x14ac:dyDescent="0.2">
      <c r="A1184" s="1" t="s">
        <v>1184</v>
      </c>
    </row>
    <row r="1185" spans="1:1" x14ac:dyDescent="0.2">
      <c r="A1185" s="1" t="s">
        <v>1185</v>
      </c>
    </row>
    <row r="1186" spans="1:1" x14ac:dyDescent="0.2">
      <c r="A1186" s="1" t="s">
        <v>1186</v>
      </c>
    </row>
    <row r="1187" spans="1:1" x14ac:dyDescent="0.2">
      <c r="A1187" s="1" t="s">
        <v>1187</v>
      </c>
    </row>
    <row r="1188" spans="1:1" x14ac:dyDescent="0.2">
      <c r="A1188" s="1" t="s">
        <v>1188</v>
      </c>
    </row>
    <row r="1189" spans="1:1" x14ac:dyDescent="0.2">
      <c r="A1189" s="1" t="s">
        <v>1189</v>
      </c>
    </row>
    <row r="1190" spans="1:1" x14ac:dyDescent="0.2">
      <c r="A1190" s="1" t="s">
        <v>1190</v>
      </c>
    </row>
    <row r="1191" spans="1:1" x14ac:dyDescent="0.2">
      <c r="A1191" s="1" t="s">
        <v>1191</v>
      </c>
    </row>
    <row r="1192" spans="1:1" x14ac:dyDescent="0.2">
      <c r="A1192" s="1" t="s">
        <v>1192</v>
      </c>
    </row>
    <row r="1193" spans="1:1" x14ac:dyDescent="0.2">
      <c r="A1193" s="1" t="s">
        <v>1193</v>
      </c>
    </row>
    <row r="1194" spans="1:1" x14ac:dyDescent="0.2">
      <c r="A1194" s="1" t="s">
        <v>1194</v>
      </c>
    </row>
    <row r="1195" spans="1:1" x14ac:dyDescent="0.2">
      <c r="A1195" s="1" t="s">
        <v>1195</v>
      </c>
    </row>
    <row r="1196" spans="1:1" x14ac:dyDescent="0.2">
      <c r="A1196" s="1" t="s">
        <v>1196</v>
      </c>
    </row>
    <row r="1197" spans="1:1" x14ac:dyDescent="0.2">
      <c r="A1197" s="1" t="s">
        <v>1197</v>
      </c>
    </row>
    <row r="1198" spans="1:1" x14ac:dyDescent="0.2">
      <c r="A1198" s="1" t="s">
        <v>1198</v>
      </c>
    </row>
    <row r="1199" spans="1:1" x14ac:dyDescent="0.2">
      <c r="A1199" s="1" t="s">
        <v>1199</v>
      </c>
    </row>
    <row r="1200" spans="1:1" x14ac:dyDescent="0.2">
      <c r="A1200" s="1" t="s">
        <v>1200</v>
      </c>
    </row>
    <row r="1201" spans="1:1" x14ac:dyDescent="0.2">
      <c r="A1201" s="1" t="s">
        <v>1201</v>
      </c>
    </row>
    <row r="1202" spans="1:1" x14ac:dyDescent="0.2">
      <c r="A1202" s="1" t="s">
        <v>1202</v>
      </c>
    </row>
    <row r="1203" spans="1:1" x14ac:dyDescent="0.2">
      <c r="A1203" s="1" t="s">
        <v>1203</v>
      </c>
    </row>
    <row r="1204" spans="1:1" x14ac:dyDescent="0.2">
      <c r="A1204" s="1" t="s">
        <v>1204</v>
      </c>
    </row>
    <row r="1205" spans="1:1" x14ac:dyDescent="0.2">
      <c r="A1205" s="1" t="s">
        <v>1205</v>
      </c>
    </row>
    <row r="1206" spans="1:1" x14ac:dyDescent="0.2">
      <c r="A1206" s="1" t="s">
        <v>1206</v>
      </c>
    </row>
    <row r="1207" spans="1:1" x14ac:dyDescent="0.2">
      <c r="A1207" s="1" t="s">
        <v>1207</v>
      </c>
    </row>
    <row r="1208" spans="1:1" x14ac:dyDescent="0.2">
      <c r="A1208" s="1" t="s">
        <v>1208</v>
      </c>
    </row>
    <row r="1209" spans="1:1" x14ac:dyDescent="0.2">
      <c r="A1209" s="1" t="s">
        <v>1209</v>
      </c>
    </row>
    <row r="1210" spans="1:1" x14ac:dyDescent="0.2">
      <c r="A1210" s="1" t="s">
        <v>1210</v>
      </c>
    </row>
    <row r="1211" spans="1:1" x14ac:dyDescent="0.2">
      <c r="A1211" s="1" t="s">
        <v>1211</v>
      </c>
    </row>
    <row r="1212" spans="1:1" x14ac:dyDescent="0.2">
      <c r="A1212" s="1" t="s">
        <v>1212</v>
      </c>
    </row>
    <row r="1213" spans="1:1" x14ac:dyDescent="0.2">
      <c r="A1213" s="1" t="s">
        <v>1213</v>
      </c>
    </row>
    <row r="1214" spans="1:1" x14ac:dyDescent="0.2">
      <c r="A1214" s="1" t="s">
        <v>1214</v>
      </c>
    </row>
    <row r="1215" spans="1:1" x14ac:dyDescent="0.2">
      <c r="A1215" s="1" t="s">
        <v>1215</v>
      </c>
    </row>
    <row r="1216" spans="1:1" x14ac:dyDescent="0.2">
      <c r="A1216" s="1" t="s">
        <v>1216</v>
      </c>
    </row>
    <row r="1217" spans="1:1" x14ac:dyDescent="0.2">
      <c r="A1217" s="1" t="s">
        <v>1217</v>
      </c>
    </row>
    <row r="1218" spans="1:1" x14ac:dyDescent="0.2">
      <c r="A1218" s="1" t="s">
        <v>1218</v>
      </c>
    </row>
    <row r="1219" spans="1:1" x14ac:dyDescent="0.2">
      <c r="A1219" s="1" t="s">
        <v>1219</v>
      </c>
    </row>
    <row r="1220" spans="1:1" x14ac:dyDescent="0.2">
      <c r="A1220" s="1" t="s">
        <v>1220</v>
      </c>
    </row>
    <row r="1221" spans="1:1" x14ac:dyDescent="0.2">
      <c r="A1221" s="1" t="s">
        <v>1221</v>
      </c>
    </row>
    <row r="1222" spans="1:1" x14ac:dyDescent="0.2">
      <c r="A1222" s="1" t="s">
        <v>1222</v>
      </c>
    </row>
    <row r="1223" spans="1:1" x14ac:dyDescent="0.2">
      <c r="A1223" s="1" t="s">
        <v>1223</v>
      </c>
    </row>
    <row r="1224" spans="1:1" x14ac:dyDescent="0.2">
      <c r="A1224" s="1" t="s">
        <v>1224</v>
      </c>
    </row>
    <row r="1225" spans="1:1" x14ac:dyDescent="0.2">
      <c r="A1225" s="1" t="s">
        <v>1225</v>
      </c>
    </row>
    <row r="1226" spans="1:1" x14ac:dyDescent="0.2">
      <c r="A1226" s="1" t="s">
        <v>1226</v>
      </c>
    </row>
    <row r="1227" spans="1:1" x14ac:dyDescent="0.2">
      <c r="A1227" s="1" t="s">
        <v>1227</v>
      </c>
    </row>
    <row r="1228" spans="1:1" x14ac:dyDescent="0.2">
      <c r="A1228" s="1" t="s">
        <v>1228</v>
      </c>
    </row>
    <row r="1229" spans="1:1" x14ac:dyDescent="0.2">
      <c r="A1229" s="1" t="s">
        <v>1229</v>
      </c>
    </row>
    <row r="1230" spans="1:1" x14ac:dyDescent="0.2">
      <c r="A1230" s="1" t="s">
        <v>1230</v>
      </c>
    </row>
    <row r="1231" spans="1:1" x14ac:dyDescent="0.2">
      <c r="A1231" s="1" t="s">
        <v>1231</v>
      </c>
    </row>
    <row r="1232" spans="1:1" x14ac:dyDescent="0.2">
      <c r="A1232" s="1" t="s">
        <v>1232</v>
      </c>
    </row>
    <row r="1233" spans="1:1" x14ac:dyDescent="0.2">
      <c r="A1233" s="1" t="s">
        <v>1233</v>
      </c>
    </row>
    <row r="1234" spans="1:1" x14ac:dyDescent="0.2">
      <c r="A1234" s="1" t="s">
        <v>1234</v>
      </c>
    </row>
    <row r="1235" spans="1:1" x14ac:dyDescent="0.2">
      <c r="A1235" s="1" t="s">
        <v>1235</v>
      </c>
    </row>
    <row r="1236" spans="1:1" x14ac:dyDescent="0.2">
      <c r="A1236" s="1" t="s">
        <v>1236</v>
      </c>
    </row>
    <row r="1237" spans="1:1" x14ac:dyDescent="0.2">
      <c r="A1237" s="1" t="s">
        <v>1237</v>
      </c>
    </row>
    <row r="1238" spans="1:1" x14ac:dyDescent="0.2">
      <c r="A1238" s="1" t="s">
        <v>1238</v>
      </c>
    </row>
    <row r="1239" spans="1:1" x14ac:dyDescent="0.2">
      <c r="A1239" s="1" t="s">
        <v>1239</v>
      </c>
    </row>
    <row r="1240" spans="1:1" x14ac:dyDescent="0.2">
      <c r="A1240" s="1" t="s">
        <v>1240</v>
      </c>
    </row>
    <row r="1241" spans="1:1" x14ac:dyDescent="0.2">
      <c r="A1241" s="1" t="s">
        <v>1241</v>
      </c>
    </row>
    <row r="1242" spans="1:1" x14ac:dyDescent="0.2">
      <c r="A1242" s="1" t="s">
        <v>1242</v>
      </c>
    </row>
    <row r="1243" spans="1:1" x14ac:dyDescent="0.2">
      <c r="A1243" s="1" t="s">
        <v>1243</v>
      </c>
    </row>
    <row r="1244" spans="1:1" x14ac:dyDescent="0.2">
      <c r="A1244" s="1" t="s">
        <v>1244</v>
      </c>
    </row>
    <row r="1245" spans="1:1" x14ac:dyDescent="0.2">
      <c r="A1245" s="1" t="s">
        <v>1245</v>
      </c>
    </row>
    <row r="1246" spans="1:1" x14ac:dyDescent="0.2">
      <c r="A1246" s="1" t="s">
        <v>1246</v>
      </c>
    </row>
    <row r="1247" spans="1:1" x14ac:dyDescent="0.2">
      <c r="A1247" s="1" t="s">
        <v>1247</v>
      </c>
    </row>
    <row r="1248" spans="1:1" x14ac:dyDescent="0.2">
      <c r="A1248" s="1" t="s">
        <v>1248</v>
      </c>
    </row>
    <row r="1249" spans="1:1" x14ac:dyDescent="0.2">
      <c r="A1249" s="1" t="s">
        <v>1249</v>
      </c>
    </row>
    <row r="1250" spans="1:1" x14ac:dyDescent="0.2">
      <c r="A1250" s="1" t="s">
        <v>1250</v>
      </c>
    </row>
    <row r="1251" spans="1:1" x14ac:dyDescent="0.2">
      <c r="A1251" s="1" t="s">
        <v>1251</v>
      </c>
    </row>
    <row r="1252" spans="1:1" x14ac:dyDescent="0.2">
      <c r="A1252" s="1" t="s">
        <v>1252</v>
      </c>
    </row>
    <row r="1253" spans="1:1" x14ac:dyDescent="0.2">
      <c r="A1253" s="1" t="s">
        <v>1253</v>
      </c>
    </row>
    <row r="1254" spans="1:1" x14ac:dyDescent="0.2">
      <c r="A1254" s="1" t="s">
        <v>1254</v>
      </c>
    </row>
    <row r="1255" spans="1:1" x14ac:dyDescent="0.2">
      <c r="A1255" s="1" t="s">
        <v>1255</v>
      </c>
    </row>
    <row r="1256" spans="1:1" x14ac:dyDescent="0.2">
      <c r="A1256" s="1" t="s">
        <v>1256</v>
      </c>
    </row>
    <row r="1257" spans="1:1" x14ac:dyDescent="0.2">
      <c r="A1257" s="1" t="s">
        <v>1257</v>
      </c>
    </row>
    <row r="1258" spans="1:1" x14ac:dyDescent="0.2">
      <c r="A1258" s="1" t="s">
        <v>1258</v>
      </c>
    </row>
    <row r="1259" spans="1:1" x14ac:dyDescent="0.2">
      <c r="A1259" s="1" t="s">
        <v>1259</v>
      </c>
    </row>
    <row r="1260" spans="1:1" x14ac:dyDescent="0.2">
      <c r="A1260" s="1" t="s">
        <v>1260</v>
      </c>
    </row>
    <row r="1261" spans="1:1" x14ac:dyDescent="0.2">
      <c r="A1261" s="1" t="s">
        <v>1261</v>
      </c>
    </row>
    <row r="1262" spans="1:1" x14ac:dyDescent="0.2">
      <c r="A1262" s="1" t="s">
        <v>1262</v>
      </c>
    </row>
    <row r="1263" spans="1:1" x14ac:dyDescent="0.2">
      <c r="A1263" s="1" t="s">
        <v>1263</v>
      </c>
    </row>
    <row r="1264" spans="1:1" x14ac:dyDescent="0.2">
      <c r="A1264" s="1" t="s">
        <v>1264</v>
      </c>
    </row>
    <row r="1265" spans="1:1" x14ac:dyDescent="0.2">
      <c r="A1265" s="1" t="s">
        <v>1265</v>
      </c>
    </row>
    <row r="1266" spans="1:1" x14ac:dyDescent="0.2">
      <c r="A1266" s="1" t="s">
        <v>1266</v>
      </c>
    </row>
    <row r="1267" spans="1:1" x14ac:dyDescent="0.2">
      <c r="A1267" s="1" t="s">
        <v>1267</v>
      </c>
    </row>
    <row r="1268" spans="1:1" x14ac:dyDescent="0.2">
      <c r="A1268" s="1" t="s">
        <v>1268</v>
      </c>
    </row>
    <row r="1269" spans="1:1" x14ac:dyDescent="0.2">
      <c r="A1269" s="1" t="s">
        <v>1269</v>
      </c>
    </row>
    <row r="1270" spans="1:1" x14ac:dyDescent="0.2">
      <c r="A1270" s="1" t="s">
        <v>1270</v>
      </c>
    </row>
    <row r="1271" spans="1:1" x14ac:dyDescent="0.2">
      <c r="A1271" s="1" t="s">
        <v>1271</v>
      </c>
    </row>
    <row r="1272" spans="1:1" x14ac:dyDescent="0.2">
      <c r="A1272" s="1" t="s">
        <v>1272</v>
      </c>
    </row>
    <row r="1273" spans="1:1" x14ac:dyDescent="0.2">
      <c r="A1273" s="1" t="s">
        <v>1273</v>
      </c>
    </row>
    <row r="1274" spans="1:1" x14ac:dyDescent="0.2">
      <c r="A1274" s="1" t="s">
        <v>1274</v>
      </c>
    </row>
    <row r="1275" spans="1:1" x14ac:dyDescent="0.2">
      <c r="A1275" s="1" t="s">
        <v>1275</v>
      </c>
    </row>
    <row r="1276" spans="1:1" x14ac:dyDescent="0.2">
      <c r="A1276" s="1" t="s">
        <v>1276</v>
      </c>
    </row>
    <row r="1277" spans="1:1" x14ac:dyDescent="0.2">
      <c r="A1277" s="1" t="s">
        <v>1277</v>
      </c>
    </row>
    <row r="1278" spans="1:1" x14ac:dyDescent="0.2">
      <c r="A1278" s="1" t="s">
        <v>1278</v>
      </c>
    </row>
    <row r="1279" spans="1:1" x14ac:dyDescent="0.2">
      <c r="A1279" s="1" t="s">
        <v>1279</v>
      </c>
    </row>
    <row r="1280" spans="1:1" x14ac:dyDescent="0.2">
      <c r="A1280" s="1" t="s">
        <v>1280</v>
      </c>
    </row>
    <row r="1281" spans="1:1" x14ac:dyDescent="0.2">
      <c r="A1281" s="1" t="s">
        <v>1281</v>
      </c>
    </row>
    <row r="1282" spans="1:1" x14ac:dyDescent="0.2">
      <c r="A1282" s="1" t="s">
        <v>1282</v>
      </c>
    </row>
    <row r="1283" spans="1:1" x14ac:dyDescent="0.2">
      <c r="A1283" s="1" t="s">
        <v>1283</v>
      </c>
    </row>
    <row r="1284" spans="1:1" x14ac:dyDescent="0.2">
      <c r="A1284" s="1" t="s">
        <v>1284</v>
      </c>
    </row>
    <row r="1285" spans="1:1" x14ac:dyDescent="0.2">
      <c r="A1285" s="1" t="s">
        <v>1285</v>
      </c>
    </row>
    <row r="1286" spans="1:1" x14ac:dyDescent="0.2">
      <c r="A1286" s="1" t="s">
        <v>1286</v>
      </c>
    </row>
    <row r="1287" spans="1:1" x14ac:dyDescent="0.2">
      <c r="A1287" s="1" t="s">
        <v>1287</v>
      </c>
    </row>
    <row r="1288" spans="1:1" x14ac:dyDescent="0.2">
      <c r="A1288" s="1" t="s">
        <v>1288</v>
      </c>
    </row>
    <row r="1289" spans="1:1" x14ac:dyDescent="0.2">
      <c r="A1289" s="1" t="s">
        <v>1289</v>
      </c>
    </row>
    <row r="1290" spans="1:1" x14ac:dyDescent="0.2">
      <c r="A1290" s="1" t="s">
        <v>1290</v>
      </c>
    </row>
    <row r="1291" spans="1:1" x14ac:dyDescent="0.2">
      <c r="A1291" s="1" t="s">
        <v>1291</v>
      </c>
    </row>
    <row r="1292" spans="1:1" x14ac:dyDescent="0.2">
      <c r="A1292" s="1" t="s">
        <v>1292</v>
      </c>
    </row>
    <row r="1293" spans="1:1" x14ac:dyDescent="0.2">
      <c r="A1293" s="1" t="s">
        <v>1293</v>
      </c>
    </row>
    <row r="1294" spans="1:1" x14ac:dyDescent="0.2">
      <c r="A1294" s="1" t="s">
        <v>1294</v>
      </c>
    </row>
    <row r="1295" spans="1:1" x14ac:dyDescent="0.2">
      <c r="A1295" s="1" t="s">
        <v>1295</v>
      </c>
    </row>
    <row r="1296" spans="1:1" x14ac:dyDescent="0.2">
      <c r="A1296" s="1" t="s">
        <v>1296</v>
      </c>
    </row>
    <row r="1297" spans="1:1" x14ac:dyDescent="0.2">
      <c r="A1297" s="1" t="s">
        <v>1297</v>
      </c>
    </row>
    <row r="1298" spans="1:1" x14ac:dyDescent="0.2">
      <c r="A1298" s="1" t="s">
        <v>1298</v>
      </c>
    </row>
    <row r="1299" spans="1:1" x14ac:dyDescent="0.2">
      <c r="A1299" s="1" t="s">
        <v>1299</v>
      </c>
    </row>
    <row r="1300" spans="1:1" x14ac:dyDescent="0.2">
      <c r="A1300" s="1" t="s">
        <v>1300</v>
      </c>
    </row>
    <row r="1301" spans="1:1" x14ac:dyDescent="0.2">
      <c r="A1301" s="1" t="s">
        <v>1301</v>
      </c>
    </row>
    <row r="1302" spans="1:1" x14ac:dyDescent="0.2">
      <c r="A1302" s="1" t="s">
        <v>1302</v>
      </c>
    </row>
    <row r="1303" spans="1:1" x14ac:dyDescent="0.2">
      <c r="A1303" s="1" t="s">
        <v>1303</v>
      </c>
    </row>
    <row r="1304" spans="1:1" x14ac:dyDescent="0.2">
      <c r="A1304" s="1" t="s">
        <v>1304</v>
      </c>
    </row>
    <row r="1305" spans="1:1" x14ac:dyDescent="0.2">
      <c r="A1305" s="1" t="s">
        <v>1305</v>
      </c>
    </row>
    <row r="1306" spans="1:1" x14ac:dyDescent="0.2">
      <c r="A1306" s="1" t="s">
        <v>1306</v>
      </c>
    </row>
    <row r="1307" spans="1:1" x14ac:dyDescent="0.2">
      <c r="A1307" s="1" t="s">
        <v>1307</v>
      </c>
    </row>
    <row r="1308" spans="1:1" x14ac:dyDescent="0.2">
      <c r="A1308" s="1" t="s">
        <v>1308</v>
      </c>
    </row>
    <row r="1309" spans="1:1" x14ac:dyDescent="0.2">
      <c r="A1309" s="1" t="s">
        <v>1309</v>
      </c>
    </row>
    <row r="1310" spans="1:1" x14ac:dyDescent="0.2">
      <c r="A1310" s="1" t="s">
        <v>1310</v>
      </c>
    </row>
    <row r="1311" spans="1:1" x14ac:dyDescent="0.2">
      <c r="A1311" s="1" t="s">
        <v>1311</v>
      </c>
    </row>
    <row r="1312" spans="1:1" x14ac:dyDescent="0.2">
      <c r="A1312" s="1" t="s">
        <v>1312</v>
      </c>
    </row>
    <row r="1313" spans="1:1" x14ac:dyDescent="0.2">
      <c r="A1313" s="1" t="s">
        <v>1313</v>
      </c>
    </row>
    <row r="1314" spans="1:1" x14ac:dyDescent="0.2">
      <c r="A1314" s="1" t="s">
        <v>1314</v>
      </c>
    </row>
    <row r="1315" spans="1:1" x14ac:dyDescent="0.2">
      <c r="A1315" s="1" t="s">
        <v>1315</v>
      </c>
    </row>
    <row r="1316" spans="1:1" x14ac:dyDescent="0.2">
      <c r="A1316" s="1" t="s">
        <v>1316</v>
      </c>
    </row>
    <row r="1317" spans="1:1" x14ac:dyDescent="0.2">
      <c r="A1317" s="1" t="s">
        <v>1317</v>
      </c>
    </row>
    <row r="1318" spans="1:1" x14ac:dyDescent="0.2">
      <c r="A1318" s="1" t="s">
        <v>1318</v>
      </c>
    </row>
    <row r="1319" spans="1:1" x14ac:dyDescent="0.2">
      <c r="A1319" s="1" t="s">
        <v>1319</v>
      </c>
    </row>
    <row r="1320" spans="1:1" x14ac:dyDescent="0.2">
      <c r="A1320" s="1" t="s">
        <v>1320</v>
      </c>
    </row>
    <row r="1321" spans="1:1" x14ac:dyDescent="0.2">
      <c r="A1321" s="1" t="s">
        <v>1321</v>
      </c>
    </row>
    <row r="1322" spans="1:1" x14ac:dyDescent="0.2">
      <c r="A1322" s="1" t="s">
        <v>1322</v>
      </c>
    </row>
    <row r="1323" spans="1:1" x14ac:dyDescent="0.2">
      <c r="A1323" s="1" t="s">
        <v>1323</v>
      </c>
    </row>
    <row r="1324" spans="1:1" x14ac:dyDescent="0.2">
      <c r="A1324" s="1" t="s">
        <v>1324</v>
      </c>
    </row>
    <row r="1325" spans="1:1" x14ac:dyDescent="0.2">
      <c r="A1325" s="1" t="s">
        <v>1325</v>
      </c>
    </row>
    <row r="1326" spans="1:1" x14ac:dyDescent="0.2">
      <c r="A1326" s="1" t="s">
        <v>1326</v>
      </c>
    </row>
    <row r="1327" spans="1:1" x14ac:dyDescent="0.2">
      <c r="A1327" s="1" t="s">
        <v>1327</v>
      </c>
    </row>
    <row r="1328" spans="1:1" x14ac:dyDescent="0.2">
      <c r="A1328" s="1" t="s">
        <v>1328</v>
      </c>
    </row>
    <row r="1329" spans="1:1" x14ac:dyDescent="0.2">
      <c r="A1329" s="1" t="s">
        <v>1329</v>
      </c>
    </row>
    <row r="1330" spans="1:1" x14ac:dyDescent="0.2">
      <c r="A1330" s="1" t="s">
        <v>1330</v>
      </c>
    </row>
    <row r="1331" spans="1:1" x14ac:dyDescent="0.2">
      <c r="A1331" s="1" t="s">
        <v>1331</v>
      </c>
    </row>
    <row r="1332" spans="1:1" x14ac:dyDescent="0.2">
      <c r="A1332" s="1" t="s">
        <v>1332</v>
      </c>
    </row>
    <row r="1333" spans="1:1" x14ac:dyDescent="0.2">
      <c r="A1333" s="1" t="s">
        <v>1333</v>
      </c>
    </row>
    <row r="1334" spans="1:1" x14ac:dyDescent="0.2">
      <c r="A1334" s="1" t="s">
        <v>1334</v>
      </c>
    </row>
    <row r="1335" spans="1:1" x14ac:dyDescent="0.2">
      <c r="A1335" s="1" t="s">
        <v>1335</v>
      </c>
    </row>
    <row r="1336" spans="1:1" x14ac:dyDescent="0.2">
      <c r="A1336" s="1" t="s">
        <v>1336</v>
      </c>
    </row>
    <row r="1337" spans="1:1" x14ac:dyDescent="0.2">
      <c r="A1337" s="1" t="s">
        <v>1337</v>
      </c>
    </row>
    <row r="1338" spans="1:1" x14ac:dyDescent="0.2">
      <c r="A1338" s="1" t="s">
        <v>1338</v>
      </c>
    </row>
    <row r="1339" spans="1:1" x14ac:dyDescent="0.2">
      <c r="A1339" s="1" t="s">
        <v>1339</v>
      </c>
    </row>
    <row r="1340" spans="1:1" x14ac:dyDescent="0.2">
      <c r="A1340" s="1" t="s">
        <v>1340</v>
      </c>
    </row>
    <row r="1341" spans="1:1" x14ac:dyDescent="0.2">
      <c r="A1341" s="1" t="s">
        <v>1341</v>
      </c>
    </row>
    <row r="1342" spans="1:1" x14ac:dyDescent="0.2">
      <c r="A1342" s="1" t="s">
        <v>1342</v>
      </c>
    </row>
    <row r="1343" spans="1:1" x14ac:dyDescent="0.2">
      <c r="A1343" s="1" t="s">
        <v>1343</v>
      </c>
    </row>
    <row r="1344" spans="1:1" x14ac:dyDescent="0.2">
      <c r="A1344" s="1" t="s">
        <v>1344</v>
      </c>
    </row>
    <row r="1345" spans="1:1" x14ac:dyDescent="0.2">
      <c r="A1345" s="1" t="s">
        <v>1345</v>
      </c>
    </row>
    <row r="1346" spans="1:1" x14ac:dyDescent="0.2">
      <c r="A1346" s="1" t="s">
        <v>1346</v>
      </c>
    </row>
    <row r="1347" spans="1:1" x14ac:dyDescent="0.2">
      <c r="A1347" s="1" t="s">
        <v>1347</v>
      </c>
    </row>
    <row r="1348" spans="1:1" x14ac:dyDescent="0.2">
      <c r="A1348" s="1" t="s">
        <v>1348</v>
      </c>
    </row>
    <row r="1349" spans="1:1" x14ac:dyDescent="0.2">
      <c r="A1349" s="1" t="s">
        <v>1349</v>
      </c>
    </row>
    <row r="1350" spans="1:1" x14ac:dyDescent="0.2">
      <c r="A1350" s="1" t="s">
        <v>1350</v>
      </c>
    </row>
    <row r="1351" spans="1:1" x14ac:dyDescent="0.2">
      <c r="A1351" s="1" t="s">
        <v>1351</v>
      </c>
    </row>
    <row r="1352" spans="1:1" x14ac:dyDescent="0.2">
      <c r="A1352" s="1" t="s">
        <v>1352</v>
      </c>
    </row>
    <row r="1353" spans="1:1" x14ac:dyDescent="0.2">
      <c r="A1353" s="1" t="s">
        <v>1353</v>
      </c>
    </row>
    <row r="1354" spans="1:1" x14ac:dyDescent="0.2">
      <c r="A1354" s="1" t="s">
        <v>1354</v>
      </c>
    </row>
    <row r="1355" spans="1:1" x14ac:dyDescent="0.2">
      <c r="A1355" s="1" t="s">
        <v>1355</v>
      </c>
    </row>
    <row r="1356" spans="1:1" x14ac:dyDescent="0.2">
      <c r="A1356" s="1" t="s">
        <v>1356</v>
      </c>
    </row>
    <row r="1357" spans="1:1" x14ac:dyDescent="0.2">
      <c r="A1357" s="1" t="s">
        <v>1357</v>
      </c>
    </row>
    <row r="1358" spans="1:1" x14ac:dyDescent="0.2">
      <c r="A1358" s="1" t="s">
        <v>1358</v>
      </c>
    </row>
    <row r="1359" spans="1:1" x14ac:dyDescent="0.2">
      <c r="A1359" s="1" t="s">
        <v>1359</v>
      </c>
    </row>
    <row r="1360" spans="1:1" x14ac:dyDescent="0.2">
      <c r="A1360" s="1" t="s">
        <v>1360</v>
      </c>
    </row>
    <row r="1361" spans="1:1" x14ac:dyDescent="0.2">
      <c r="A1361" s="1" t="s">
        <v>1361</v>
      </c>
    </row>
    <row r="1362" spans="1:1" x14ac:dyDescent="0.2">
      <c r="A1362" s="1" t="s">
        <v>1362</v>
      </c>
    </row>
    <row r="1363" spans="1:1" x14ac:dyDescent="0.2">
      <c r="A1363" s="1" t="s">
        <v>1363</v>
      </c>
    </row>
    <row r="1364" spans="1:1" x14ac:dyDescent="0.2">
      <c r="A1364" s="1" t="s">
        <v>1364</v>
      </c>
    </row>
    <row r="1365" spans="1:1" x14ac:dyDescent="0.2">
      <c r="A1365" s="1" t="s">
        <v>1365</v>
      </c>
    </row>
    <row r="1366" spans="1:1" x14ac:dyDescent="0.2">
      <c r="A1366" s="1" t="s">
        <v>1366</v>
      </c>
    </row>
    <row r="1367" spans="1:1" x14ac:dyDescent="0.2">
      <c r="A1367" s="1" t="s">
        <v>1367</v>
      </c>
    </row>
    <row r="1368" spans="1:1" x14ac:dyDescent="0.2">
      <c r="A1368" s="1" t="s">
        <v>1368</v>
      </c>
    </row>
    <row r="1369" spans="1:1" x14ac:dyDescent="0.2">
      <c r="A1369" s="1" t="s">
        <v>1369</v>
      </c>
    </row>
    <row r="1370" spans="1:1" x14ac:dyDescent="0.2">
      <c r="A1370" s="1" t="s">
        <v>1370</v>
      </c>
    </row>
    <row r="1371" spans="1:1" x14ac:dyDescent="0.2">
      <c r="A1371" s="1" t="s">
        <v>1371</v>
      </c>
    </row>
    <row r="1372" spans="1:1" x14ac:dyDescent="0.2">
      <c r="A1372" s="1" t="s">
        <v>1372</v>
      </c>
    </row>
    <row r="1373" spans="1:1" x14ac:dyDescent="0.2">
      <c r="A1373" s="1" t="s">
        <v>1373</v>
      </c>
    </row>
    <row r="1374" spans="1:1" x14ac:dyDescent="0.2">
      <c r="A1374" s="1" t="s">
        <v>1374</v>
      </c>
    </row>
    <row r="1375" spans="1:1" x14ac:dyDescent="0.2">
      <c r="A1375" s="1" t="s">
        <v>1375</v>
      </c>
    </row>
    <row r="1376" spans="1:1" x14ac:dyDescent="0.2">
      <c r="A1376" s="1" t="s">
        <v>1376</v>
      </c>
    </row>
    <row r="1377" spans="1:1" x14ac:dyDescent="0.2">
      <c r="A1377" s="1" t="s">
        <v>1377</v>
      </c>
    </row>
    <row r="1378" spans="1:1" x14ac:dyDescent="0.2">
      <c r="A1378" s="1" t="s">
        <v>1378</v>
      </c>
    </row>
    <row r="1379" spans="1:1" x14ac:dyDescent="0.2">
      <c r="A1379" s="1" t="s">
        <v>1379</v>
      </c>
    </row>
    <row r="1380" spans="1:1" x14ac:dyDescent="0.2">
      <c r="A1380" s="1" t="s">
        <v>1380</v>
      </c>
    </row>
    <row r="1381" spans="1:1" x14ac:dyDescent="0.2">
      <c r="A1381" s="1" t="s">
        <v>1381</v>
      </c>
    </row>
    <row r="1382" spans="1:1" x14ac:dyDescent="0.2">
      <c r="A1382" s="1" t="s">
        <v>1382</v>
      </c>
    </row>
    <row r="1383" spans="1:1" x14ac:dyDescent="0.2">
      <c r="A1383" s="1" t="s">
        <v>1383</v>
      </c>
    </row>
    <row r="1384" spans="1:1" x14ac:dyDescent="0.2">
      <c r="A1384" s="1" t="s">
        <v>1384</v>
      </c>
    </row>
    <row r="1385" spans="1:1" x14ac:dyDescent="0.2">
      <c r="A1385" s="1" t="s">
        <v>1385</v>
      </c>
    </row>
    <row r="1386" spans="1:1" x14ac:dyDescent="0.2">
      <c r="A1386" s="1" t="s">
        <v>1386</v>
      </c>
    </row>
    <row r="1387" spans="1:1" x14ac:dyDescent="0.2">
      <c r="A1387" s="1" t="s">
        <v>1387</v>
      </c>
    </row>
    <row r="1388" spans="1:1" x14ac:dyDescent="0.2">
      <c r="A1388" s="1" t="s">
        <v>1388</v>
      </c>
    </row>
    <row r="1389" spans="1:1" x14ac:dyDescent="0.2">
      <c r="A1389" s="1" t="s">
        <v>1389</v>
      </c>
    </row>
    <row r="1390" spans="1:1" x14ac:dyDescent="0.2">
      <c r="A1390" s="1" t="s">
        <v>1390</v>
      </c>
    </row>
    <row r="1391" spans="1:1" x14ac:dyDescent="0.2">
      <c r="A1391" s="1" t="s">
        <v>1391</v>
      </c>
    </row>
    <row r="1392" spans="1:1" x14ac:dyDescent="0.2">
      <c r="A1392" s="1" t="s">
        <v>1392</v>
      </c>
    </row>
    <row r="1393" spans="1:1" x14ac:dyDescent="0.2">
      <c r="A1393" s="1" t="s">
        <v>1393</v>
      </c>
    </row>
    <row r="1394" spans="1:1" x14ac:dyDescent="0.2">
      <c r="A1394" s="1" t="s">
        <v>1394</v>
      </c>
    </row>
    <row r="1395" spans="1:1" x14ac:dyDescent="0.2">
      <c r="A1395" s="1" t="s">
        <v>1395</v>
      </c>
    </row>
    <row r="1396" spans="1:1" x14ac:dyDescent="0.2">
      <c r="A1396" s="1" t="s">
        <v>1396</v>
      </c>
    </row>
    <row r="1397" spans="1:1" x14ac:dyDescent="0.2">
      <c r="A1397" s="1" t="s">
        <v>1397</v>
      </c>
    </row>
    <row r="1398" spans="1:1" x14ac:dyDescent="0.2">
      <c r="A1398" s="1" t="s">
        <v>1398</v>
      </c>
    </row>
    <row r="1399" spans="1:1" x14ac:dyDescent="0.2">
      <c r="A1399" s="1" t="s">
        <v>1399</v>
      </c>
    </row>
    <row r="1400" spans="1:1" x14ac:dyDescent="0.2">
      <c r="A1400" s="1" t="s">
        <v>1400</v>
      </c>
    </row>
    <row r="1401" spans="1:1" x14ac:dyDescent="0.2">
      <c r="A1401" s="1" t="s">
        <v>1401</v>
      </c>
    </row>
    <row r="1402" spans="1:1" x14ac:dyDescent="0.2">
      <c r="A1402" s="1" t="s">
        <v>1402</v>
      </c>
    </row>
    <row r="1403" spans="1:1" x14ac:dyDescent="0.2">
      <c r="A1403" s="1" t="s">
        <v>1403</v>
      </c>
    </row>
    <row r="1404" spans="1:1" x14ac:dyDescent="0.2">
      <c r="A1404" s="1" t="s">
        <v>1404</v>
      </c>
    </row>
    <row r="1405" spans="1:1" x14ac:dyDescent="0.2">
      <c r="A1405" s="1" t="s">
        <v>1405</v>
      </c>
    </row>
    <row r="1406" spans="1:1" x14ac:dyDescent="0.2">
      <c r="A1406" s="1" t="s">
        <v>1406</v>
      </c>
    </row>
    <row r="1407" spans="1:1" x14ac:dyDescent="0.2">
      <c r="A1407" s="1" t="s">
        <v>1407</v>
      </c>
    </row>
    <row r="1408" spans="1:1" x14ac:dyDescent="0.2">
      <c r="A1408" s="1" t="s">
        <v>1408</v>
      </c>
    </row>
    <row r="1409" spans="1:1" x14ac:dyDescent="0.2">
      <c r="A1409" s="1" t="s">
        <v>1409</v>
      </c>
    </row>
    <row r="1410" spans="1:1" x14ac:dyDescent="0.2">
      <c r="A1410" s="1" t="s">
        <v>1410</v>
      </c>
    </row>
    <row r="1411" spans="1:1" x14ac:dyDescent="0.2">
      <c r="A1411" s="1" t="s">
        <v>1411</v>
      </c>
    </row>
    <row r="1412" spans="1:1" x14ac:dyDescent="0.2">
      <c r="A1412" s="1" t="s">
        <v>1412</v>
      </c>
    </row>
    <row r="1413" spans="1:1" x14ac:dyDescent="0.2">
      <c r="A1413" s="1" t="s">
        <v>1413</v>
      </c>
    </row>
    <row r="1414" spans="1:1" x14ac:dyDescent="0.2">
      <c r="A1414" s="1" t="s">
        <v>1414</v>
      </c>
    </row>
    <row r="1415" spans="1:1" x14ac:dyDescent="0.2">
      <c r="A1415" s="1" t="s">
        <v>1415</v>
      </c>
    </row>
    <row r="1416" spans="1:1" x14ac:dyDescent="0.2">
      <c r="A1416" s="1" t="s">
        <v>1416</v>
      </c>
    </row>
    <row r="1417" spans="1:1" x14ac:dyDescent="0.2">
      <c r="A1417" s="1" t="s">
        <v>1417</v>
      </c>
    </row>
    <row r="1418" spans="1:1" x14ac:dyDescent="0.2">
      <c r="A1418" s="1" t="s">
        <v>1418</v>
      </c>
    </row>
    <row r="1419" spans="1:1" x14ac:dyDescent="0.2">
      <c r="A1419" s="1" t="s">
        <v>1419</v>
      </c>
    </row>
    <row r="1420" spans="1:1" x14ac:dyDescent="0.2">
      <c r="A1420" s="1" t="s">
        <v>1420</v>
      </c>
    </row>
    <row r="1421" spans="1:1" x14ac:dyDescent="0.2">
      <c r="A1421" s="1" t="s">
        <v>1421</v>
      </c>
    </row>
    <row r="1422" spans="1:1" x14ac:dyDescent="0.2">
      <c r="A1422" s="1" t="s">
        <v>1422</v>
      </c>
    </row>
    <row r="1423" spans="1:1" x14ac:dyDescent="0.2">
      <c r="A1423" s="1" t="s">
        <v>1423</v>
      </c>
    </row>
    <row r="1424" spans="1:1" x14ac:dyDescent="0.2">
      <c r="A1424" s="1" t="s">
        <v>1424</v>
      </c>
    </row>
    <row r="1425" spans="1:1" x14ac:dyDescent="0.2">
      <c r="A1425" s="1" t="s">
        <v>1425</v>
      </c>
    </row>
    <row r="1426" spans="1:1" x14ac:dyDescent="0.2">
      <c r="A1426" s="1" t="s">
        <v>1426</v>
      </c>
    </row>
    <row r="1427" spans="1:1" x14ac:dyDescent="0.2">
      <c r="A1427" s="1" t="s">
        <v>1427</v>
      </c>
    </row>
    <row r="1428" spans="1:1" x14ac:dyDescent="0.2">
      <c r="A1428" s="1" t="s">
        <v>1428</v>
      </c>
    </row>
    <row r="1429" spans="1:1" x14ac:dyDescent="0.2">
      <c r="A1429" s="1" t="s">
        <v>1429</v>
      </c>
    </row>
    <row r="1430" spans="1:1" x14ac:dyDescent="0.2">
      <c r="A1430" s="1" t="s">
        <v>1430</v>
      </c>
    </row>
    <row r="1431" spans="1:1" x14ac:dyDescent="0.2">
      <c r="A1431" s="1" t="s">
        <v>1431</v>
      </c>
    </row>
    <row r="1432" spans="1:1" x14ac:dyDescent="0.2">
      <c r="A1432" s="1" t="s">
        <v>1432</v>
      </c>
    </row>
    <row r="1433" spans="1:1" x14ac:dyDescent="0.2">
      <c r="A1433" s="1" t="s">
        <v>1433</v>
      </c>
    </row>
    <row r="1434" spans="1:1" x14ac:dyDescent="0.2">
      <c r="A1434" s="1" t="s">
        <v>1434</v>
      </c>
    </row>
    <row r="1435" spans="1:1" x14ac:dyDescent="0.2">
      <c r="A1435" s="1" t="s">
        <v>1435</v>
      </c>
    </row>
    <row r="1436" spans="1:1" x14ac:dyDescent="0.2">
      <c r="A1436" s="1" t="s">
        <v>1436</v>
      </c>
    </row>
    <row r="1437" spans="1:1" x14ac:dyDescent="0.2">
      <c r="A1437" s="1" t="s">
        <v>1437</v>
      </c>
    </row>
    <row r="1438" spans="1:1" x14ac:dyDescent="0.2">
      <c r="A1438" s="1" t="s">
        <v>1438</v>
      </c>
    </row>
    <row r="1439" spans="1:1" x14ac:dyDescent="0.2">
      <c r="A1439" s="1" t="s">
        <v>1439</v>
      </c>
    </row>
    <row r="1440" spans="1:1" x14ac:dyDescent="0.2">
      <c r="A1440" s="1" t="s">
        <v>1440</v>
      </c>
    </row>
    <row r="1441" spans="1:1" x14ac:dyDescent="0.2">
      <c r="A1441" s="1" t="s">
        <v>1441</v>
      </c>
    </row>
    <row r="1442" spans="1:1" x14ac:dyDescent="0.2">
      <c r="A1442" s="1" t="s">
        <v>1442</v>
      </c>
    </row>
    <row r="1443" spans="1:1" x14ac:dyDescent="0.2">
      <c r="A1443" s="1" t="s">
        <v>1443</v>
      </c>
    </row>
    <row r="1444" spans="1:1" x14ac:dyDescent="0.2">
      <c r="A1444" s="1" t="s">
        <v>1444</v>
      </c>
    </row>
    <row r="1445" spans="1:1" x14ac:dyDescent="0.2">
      <c r="A1445" s="1" t="s">
        <v>1445</v>
      </c>
    </row>
    <row r="1446" spans="1:1" x14ac:dyDescent="0.2">
      <c r="A1446" s="1" t="s">
        <v>1446</v>
      </c>
    </row>
    <row r="1447" spans="1:1" x14ac:dyDescent="0.2">
      <c r="A1447" s="1" t="s">
        <v>1447</v>
      </c>
    </row>
    <row r="1448" spans="1:1" x14ac:dyDescent="0.2">
      <c r="A1448" s="1" t="s">
        <v>1448</v>
      </c>
    </row>
    <row r="1449" spans="1:1" x14ac:dyDescent="0.2">
      <c r="A1449" s="1" t="s">
        <v>1449</v>
      </c>
    </row>
    <row r="1450" spans="1:1" x14ac:dyDescent="0.2">
      <c r="A1450" s="1" t="s">
        <v>1450</v>
      </c>
    </row>
    <row r="1451" spans="1:1" x14ac:dyDescent="0.2">
      <c r="A1451" s="1" t="s">
        <v>1451</v>
      </c>
    </row>
    <row r="1452" spans="1:1" x14ac:dyDescent="0.2">
      <c r="A1452" s="1" t="s">
        <v>1452</v>
      </c>
    </row>
    <row r="1453" spans="1:1" x14ac:dyDescent="0.2">
      <c r="A1453" s="1" t="s">
        <v>1453</v>
      </c>
    </row>
    <row r="1454" spans="1:1" x14ac:dyDescent="0.2">
      <c r="A1454" s="1" t="s">
        <v>1454</v>
      </c>
    </row>
    <row r="1455" spans="1:1" x14ac:dyDescent="0.2">
      <c r="A1455" s="1" t="s">
        <v>1455</v>
      </c>
    </row>
    <row r="1456" spans="1:1" x14ac:dyDescent="0.2">
      <c r="A1456" s="1" t="s">
        <v>1456</v>
      </c>
    </row>
    <row r="1457" spans="1:1" x14ac:dyDescent="0.2">
      <c r="A1457" s="1" t="s">
        <v>1457</v>
      </c>
    </row>
    <row r="1458" spans="1:1" x14ac:dyDescent="0.2">
      <c r="A1458" s="1" t="s">
        <v>1458</v>
      </c>
    </row>
    <row r="1459" spans="1:1" x14ac:dyDescent="0.2">
      <c r="A1459" s="1" t="s">
        <v>1459</v>
      </c>
    </row>
    <row r="1460" spans="1:1" x14ac:dyDescent="0.2">
      <c r="A1460" s="1" t="s">
        <v>1460</v>
      </c>
    </row>
    <row r="1461" spans="1:1" x14ac:dyDescent="0.2">
      <c r="A1461" s="1" t="s">
        <v>1461</v>
      </c>
    </row>
    <row r="1462" spans="1:1" x14ac:dyDescent="0.2">
      <c r="A1462" s="1" t="s">
        <v>1462</v>
      </c>
    </row>
    <row r="1463" spans="1:1" x14ac:dyDescent="0.2">
      <c r="A1463" s="1" t="s">
        <v>1463</v>
      </c>
    </row>
    <row r="1464" spans="1:1" x14ac:dyDescent="0.2">
      <c r="A1464" s="1" t="s">
        <v>1464</v>
      </c>
    </row>
    <row r="1465" spans="1:1" x14ac:dyDescent="0.2">
      <c r="A1465" s="1" t="s">
        <v>1465</v>
      </c>
    </row>
    <row r="1466" spans="1:1" x14ac:dyDescent="0.2">
      <c r="A1466" s="1" t="s">
        <v>1466</v>
      </c>
    </row>
    <row r="1467" spans="1:1" x14ac:dyDescent="0.2">
      <c r="A1467" s="1" t="s">
        <v>1467</v>
      </c>
    </row>
    <row r="1468" spans="1:1" x14ac:dyDescent="0.2">
      <c r="A1468" s="1" t="s">
        <v>1468</v>
      </c>
    </row>
    <row r="1469" spans="1:1" x14ac:dyDescent="0.2">
      <c r="A1469" s="1" t="s">
        <v>1469</v>
      </c>
    </row>
    <row r="1470" spans="1:1" x14ac:dyDescent="0.2">
      <c r="A1470" s="1" t="s">
        <v>1470</v>
      </c>
    </row>
    <row r="1471" spans="1:1" x14ac:dyDescent="0.2">
      <c r="A1471" s="1" t="s">
        <v>1471</v>
      </c>
    </row>
    <row r="1472" spans="1:1" x14ac:dyDescent="0.2">
      <c r="A1472" s="1" t="s">
        <v>1472</v>
      </c>
    </row>
    <row r="1473" spans="1:1" x14ac:dyDescent="0.2">
      <c r="A1473" s="1" t="s">
        <v>1473</v>
      </c>
    </row>
    <row r="1474" spans="1:1" x14ac:dyDescent="0.2">
      <c r="A1474" s="1" t="s">
        <v>1474</v>
      </c>
    </row>
    <row r="1475" spans="1:1" x14ac:dyDescent="0.2">
      <c r="A1475" s="1" t="s">
        <v>1475</v>
      </c>
    </row>
    <row r="1476" spans="1:1" x14ac:dyDescent="0.2">
      <c r="A1476" s="1" t="s">
        <v>1476</v>
      </c>
    </row>
    <row r="1477" spans="1:1" x14ac:dyDescent="0.2">
      <c r="A1477" s="1" t="s">
        <v>1477</v>
      </c>
    </row>
    <row r="1478" spans="1:1" x14ac:dyDescent="0.2">
      <c r="A1478" s="1" t="s">
        <v>1478</v>
      </c>
    </row>
    <row r="1479" spans="1:1" x14ac:dyDescent="0.2">
      <c r="A1479" s="1" t="s">
        <v>1479</v>
      </c>
    </row>
    <row r="1480" spans="1:1" x14ac:dyDescent="0.2">
      <c r="A1480" s="1" t="s">
        <v>1480</v>
      </c>
    </row>
    <row r="1481" spans="1:1" x14ac:dyDescent="0.2">
      <c r="A1481" s="1" t="s">
        <v>1481</v>
      </c>
    </row>
    <row r="1482" spans="1:1" x14ac:dyDescent="0.2">
      <c r="A1482" s="1" t="s">
        <v>1482</v>
      </c>
    </row>
    <row r="1483" spans="1:1" x14ac:dyDescent="0.2">
      <c r="A1483" s="1" t="s">
        <v>1483</v>
      </c>
    </row>
    <row r="1484" spans="1:1" x14ac:dyDescent="0.2">
      <c r="A1484" s="1" t="s">
        <v>1484</v>
      </c>
    </row>
    <row r="1485" spans="1:1" x14ac:dyDescent="0.2">
      <c r="A1485" s="1" t="s">
        <v>1485</v>
      </c>
    </row>
    <row r="1486" spans="1:1" x14ac:dyDescent="0.2">
      <c r="A1486" s="1" t="s">
        <v>1486</v>
      </c>
    </row>
    <row r="1487" spans="1:1" x14ac:dyDescent="0.2">
      <c r="A1487" s="1" t="s">
        <v>1487</v>
      </c>
    </row>
    <row r="1488" spans="1:1" x14ac:dyDescent="0.2">
      <c r="A1488" s="1" t="s">
        <v>1488</v>
      </c>
    </row>
    <row r="1489" spans="1:1" x14ac:dyDescent="0.2">
      <c r="A1489" s="1" t="s">
        <v>1489</v>
      </c>
    </row>
    <row r="1490" spans="1:1" x14ac:dyDescent="0.2">
      <c r="A1490" s="1" t="s">
        <v>1490</v>
      </c>
    </row>
    <row r="1491" spans="1:1" x14ac:dyDescent="0.2">
      <c r="A1491" s="1" t="s">
        <v>1491</v>
      </c>
    </row>
    <row r="1492" spans="1:1" x14ac:dyDescent="0.2">
      <c r="A1492" s="1" t="s">
        <v>1492</v>
      </c>
    </row>
    <row r="1493" spans="1:1" x14ac:dyDescent="0.2">
      <c r="A1493" s="1" t="s">
        <v>1493</v>
      </c>
    </row>
    <row r="1494" spans="1:1" x14ac:dyDescent="0.2">
      <c r="A1494" s="1" t="s">
        <v>1494</v>
      </c>
    </row>
    <row r="1495" spans="1:1" x14ac:dyDescent="0.2">
      <c r="A1495" s="1" t="s">
        <v>1495</v>
      </c>
    </row>
    <row r="1496" spans="1:1" x14ac:dyDescent="0.2">
      <c r="A1496" s="1" t="s">
        <v>1496</v>
      </c>
    </row>
    <row r="1497" spans="1:1" x14ac:dyDescent="0.2">
      <c r="A1497" s="1" t="s">
        <v>1497</v>
      </c>
    </row>
    <row r="1498" spans="1:1" x14ac:dyDescent="0.2">
      <c r="A1498" s="1" t="s">
        <v>1498</v>
      </c>
    </row>
    <row r="1499" spans="1:1" x14ac:dyDescent="0.2">
      <c r="A1499" s="1" t="s">
        <v>1499</v>
      </c>
    </row>
    <row r="1500" spans="1:1" x14ac:dyDescent="0.2">
      <c r="A1500" s="1" t="s">
        <v>1500</v>
      </c>
    </row>
    <row r="1501" spans="1:1" x14ac:dyDescent="0.2">
      <c r="A1501" s="1" t="s">
        <v>1501</v>
      </c>
    </row>
    <row r="1502" spans="1:1" x14ac:dyDescent="0.2">
      <c r="A1502" s="1" t="s">
        <v>1502</v>
      </c>
    </row>
    <row r="1503" spans="1:1" x14ac:dyDescent="0.2">
      <c r="A1503" s="1" t="s">
        <v>1503</v>
      </c>
    </row>
    <row r="1504" spans="1:1" x14ac:dyDescent="0.2">
      <c r="A1504" s="1" t="s">
        <v>1504</v>
      </c>
    </row>
    <row r="1505" spans="1:1" x14ac:dyDescent="0.2">
      <c r="A1505" s="1" t="s">
        <v>1505</v>
      </c>
    </row>
    <row r="1506" spans="1:1" x14ac:dyDescent="0.2">
      <c r="A1506" s="1" t="s">
        <v>1506</v>
      </c>
    </row>
    <row r="1507" spans="1:1" x14ac:dyDescent="0.2">
      <c r="A1507" s="1" t="s">
        <v>1507</v>
      </c>
    </row>
    <row r="1508" spans="1:1" x14ac:dyDescent="0.2">
      <c r="A1508" s="1" t="s">
        <v>1508</v>
      </c>
    </row>
    <row r="1509" spans="1:1" x14ac:dyDescent="0.2">
      <c r="A1509" s="1" t="s">
        <v>1509</v>
      </c>
    </row>
    <row r="1510" spans="1:1" x14ac:dyDescent="0.2">
      <c r="A1510" s="1" t="s">
        <v>1510</v>
      </c>
    </row>
    <row r="1511" spans="1:1" x14ac:dyDescent="0.2">
      <c r="A1511" s="1" t="s">
        <v>1511</v>
      </c>
    </row>
    <row r="1512" spans="1:1" x14ac:dyDescent="0.2">
      <c r="A1512" s="1" t="s">
        <v>1512</v>
      </c>
    </row>
    <row r="1513" spans="1:1" x14ac:dyDescent="0.2">
      <c r="A1513" s="1" t="s">
        <v>1513</v>
      </c>
    </row>
    <row r="1514" spans="1:1" x14ac:dyDescent="0.2">
      <c r="A1514" s="1" t="s">
        <v>1514</v>
      </c>
    </row>
    <row r="1515" spans="1:1" x14ac:dyDescent="0.2">
      <c r="A1515" s="1" t="s">
        <v>1515</v>
      </c>
    </row>
    <row r="1516" spans="1:1" x14ac:dyDescent="0.2">
      <c r="A1516" s="1" t="s">
        <v>1516</v>
      </c>
    </row>
    <row r="1517" spans="1:1" x14ac:dyDescent="0.2">
      <c r="A1517" s="1" t="s">
        <v>1517</v>
      </c>
    </row>
    <row r="1518" spans="1:1" x14ac:dyDescent="0.2">
      <c r="A1518" s="1" t="s">
        <v>1518</v>
      </c>
    </row>
    <row r="1519" spans="1:1" x14ac:dyDescent="0.2">
      <c r="A1519" s="1" t="s">
        <v>1519</v>
      </c>
    </row>
    <row r="1520" spans="1:1" x14ac:dyDescent="0.2">
      <c r="A1520" s="1" t="s">
        <v>1520</v>
      </c>
    </row>
    <row r="1521" spans="1:1" x14ac:dyDescent="0.2">
      <c r="A1521" s="1" t="s">
        <v>1521</v>
      </c>
    </row>
    <row r="1522" spans="1:1" x14ac:dyDescent="0.2">
      <c r="A1522" s="1" t="s">
        <v>1522</v>
      </c>
    </row>
    <row r="1523" spans="1:1" x14ac:dyDescent="0.2">
      <c r="A1523" s="1" t="s">
        <v>1523</v>
      </c>
    </row>
    <row r="1524" spans="1:1" x14ac:dyDescent="0.2">
      <c r="A1524" s="1" t="s">
        <v>1524</v>
      </c>
    </row>
    <row r="1525" spans="1:1" x14ac:dyDescent="0.2">
      <c r="A1525" s="1" t="s">
        <v>1525</v>
      </c>
    </row>
    <row r="1526" spans="1:1" x14ac:dyDescent="0.2">
      <c r="A1526" s="1" t="s">
        <v>1526</v>
      </c>
    </row>
    <row r="1527" spans="1:1" x14ac:dyDescent="0.2">
      <c r="A1527" s="1" t="s">
        <v>1527</v>
      </c>
    </row>
    <row r="1528" spans="1:1" x14ac:dyDescent="0.2">
      <c r="A1528" s="1" t="s">
        <v>1528</v>
      </c>
    </row>
    <row r="1529" spans="1:1" x14ac:dyDescent="0.2">
      <c r="A1529" s="1" t="s">
        <v>1529</v>
      </c>
    </row>
    <row r="1530" spans="1:1" x14ac:dyDescent="0.2">
      <c r="A1530" s="1" t="s">
        <v>1530</v>
      </c>
    </row>
    <row r="1531" spans="1:1" x14ac:dyDescent="0.2">
      <c r="A1531" s="1" t="s">
        <v>1531</v>
      </c>
    </row>
    <row r="1532" spans="1:1" x14ac:dyDescent="0.2">
      <c r="A1532" s="1" t="s">
        <v>1532</v>
      </c>
    </row>
    <row r="1533" spans="1:1" x14ac:dyDescent="0.2">
      <c r="A1533" s="1" t="s">
        <v>1533</v>
      </c>
    </row>
    <row r="1534" spans="1:1" x14ac:dyDescent="0.2">
      <c r="A1534" s="1" t="s">
        <v>1534</v>
      </c>
    </row>
    <row r="1535" spans="1:1" x14ac:dyDescent="0.2">
      <c r="A1535" s="1" t="s">
        <v>1535</v>
      </c>
    </row>
    <row r="1536" spans="1:1" x14ac:dyDescent="0.2">
      <c r="A1536" s="1" t="s">
        <v>1536</v>
      </c>
    </row>
    <row r="1537" spans="1:1" x14ac:dyDescent="0.2">
      <c r="A1537" s="1" t="s">
        <v>1537</v>
      </c>
    </row>
    <row r="1538" spans="1:1" x14ac:dyDescent="0.2">
      <c r="A1538" s="1" t="s">
        <v>1538</v>
      </c>
    </row>
    <row r="1539" spans="1:1" x14ac:dyDescent="0.2">
      <c r="A1539" s="1" t="s">
        <v>1539</v>
      </c>
    </row>
    <row r="1540" spans="1:1" x14ac:dyDescent="0.2">
      <c r="A1540" s="1" t="s">
        <v>1540</v>
      </c>
    </row>
    <row r="1541" spans="1:1" x14ac:dyDescent="0.2">
      <c r="A1541" s="1" t="s">
        <v>1541</v>
      </c>
    </row>
    <row r="1542" spans="1:1" x14ac:dyDescent="0.2">
      <c r="A1542" s="1" t="s">
        <v>1542</v>
      </c>
    </row>
    <row r="1543" spans="1:1" x14ac:dyDescent="0.2">
      <c r="A1543" s="1" t="s">
        <v>1543</v>
      </c>
    </row>
    <row r="1544" spans="1:1" x14ac:dyDescent="0.2">
      <c r="A1544" s="1" t="s">
        <v>1544</v>
      </c>
    </row>
    <row r="1545" spans="1:1" x14ac:dyDescent="0.2">
      <c r="A1545" s="1" t="s">
        <v>1545</v>
      </c>
    </row>
    <row r="1546" spans="1:1" x14ac:dyDescent="0.2">
      <c r="A1546" s="1" t="s">
        <v>1546</v>
      </c>
    </row>
    <row r="1547" spans="1:1" x14ac:dyDescent="0.2">
      <c r="A1547" s="1" t="s">
        <v>1547</v>
      </c>
    </row>
    <row r="1548" spans="1:1" x14ac:dyDescent="0.2">
      <c r="A1548" s="1" t="s">
        <v>1548</v>
      </c>
    </row>
    <row r="1549" spans="1:1" x14ac:dyDescent="0.2">
      <c r="A1549" s="1" t="s">
        <v>1549</v>
      </c>
    </row>
    <row r="1550" spans="1:1" x14ac:dyDescent="0.2">
      <c r="A1550" s="1" t="s">
        <v>1550</v>
      </c>
    </row>
    <row r="1551" spans="1:1" x14ac:dyDescent="0.2">
      <c r="A1551" s="1" t="s">
        <v>1551</v>
      </c>
    </row>
    <row r="1552" spans="1:1" x14ac:dyDescent="0.2">
      <c r="A1552" s="1" t="s">
        <v>1552</v>
      </c>
    </row>
    <row r="1553" spans="1:1" x14ac:dyDescent="0.2">
      <c r="A1553" s="1" t="s">
        <v>1553</v>
      </c>
    </row>
    <row r="1554" spans="1:1" x14ac:dyDescent="0.2">
      <c r="A1554" s="1" t="s">
        <v>1554</v>
      </c>
    </row>
    <row r="1555" spans="1:1" x14ac:dyDescent="0.2">
      <c r="A1555" s="1" t="s">
        <v>1555</v>
      </c>
    </row>
    <row r="1556" spans="1:1" x14ac:dyDescent="0.2">
      <c r="A1556" s="1" t="s">
        <v>1556</v>
      </c>
    </row>
    <row r="1557" spans="1:1" x14ac:dyDescent="0.2">
      <c r="A1557" s="1" t="s">
        <v>1557</v>
      </c>
    </row>
    <row r="1558" spans="1:1" x14ac:dyDescent="0.2">
      <c r="A1558" s="1" t="s">
        <v>1558</v>
      </c>
    </row>
    <row r="1559" spans="1:1" x14ac:dyDescent="0.2">
      <c r="A1559" s="1" t="s">
        <v>1559</v>
      </c>
    </row>
    <row r="1560" spans="1:1" x14ac:dyDescent="0.2">
      <c r="A1560" s="1" t="s">
        <v>1560</v>
      </c>
    </row>
    <row r="1561" spans="1:1" x14ac:dyDescent="0.2">
      <c r="A1561" s="1" t="s">
        <v>1561</v>
      </c>
    </row>
    <row r="1562" spans="1:1" x14ac:dyDescent="0.2">
      <c r="A1562" s="1" t="s">
        <v>1562</v>
      </c>
    </row>
    <row r="1563" spans="1:1" x14ac:dyDescent="0.2">
      <c r="A1563" s="1" t="s">
        <v>1563</v>
      </c>
    </row>
    <row r="1564" spans="1:1" x14ac:dyDescent="0.2">
      <c r="A1564" s="1" t="s">
        <v>1564</v>
      </c>
    </row>
    <row r="1565" spans="1:1" x14ac:dyDescent="0.2">
      <c r="A1565" s="1" t="s">
        <v>1565</v>
      </c>
    </row>
    <row r="1566" spans="1:1" x14ac:dyDescent="0.2">
      <c r="A1566" s="1" t="s">
        <v>1566</v>
      </c>
    </row>
    <row r="1567" spans="1:1" x14ac:dyDescent="0.2">
      <c r="A1567" s="1" t="s">
        <v>1567</v>
      </c>
    </row>
    <row r="1568" spans="1:1" x14ac:dyDescent="0.2">
      <c r="A1568" s="1" t="s">
        <v>1568</v>
      </c>
    </row>
    <row r="1569" spans="1:1" x14ac:dyDescent="0.2">
      <c r="A1569" s="1" t="s">
        <v>1569</v>
      </c>
    </row>
    <row r="1570" spans="1:1" x14ac:dyDescent="0.2">
      <c r="A1570" s="1" t="s">
        <v>1570</v>
      </c>
    </row>
    <row r="1571" spans="1:1" x14ac:dyDescent="0.2">
      <c r="A1571" s="1" t="s">
        <v>1571</v>
      </c>
    </row>
    <row r="1572" spans="1:1" x14ac:dyDescent="0.2">
      <c r="A1572" s="1" t="s">
        <v>1572</v>
      </c>
    </row>
    <row r="1573" spans="1:1" x14ac:dyDescent="0.2">
      <c r="A1573" s="1" t="s">
        <v>1573</v>
      </c>
    </row>
    <row r="1574" spans="1:1" x14ac:dyDescent="0.2">
      <c r="A1574" s="1" t="s">
        <v>1574</v>
      </c>
    </row>
    <row r="1575" spans="1:1" x14ac:dyDescent="0.2">
      <c r="A1575" s="1" t="s">
        <v>1575</v>
      </c>
    </row>
    <row r="1576" spans="1:1" x14ac:dyDescent="0.2">
      <c r="A1576" s="1" t="s">
        <v>1576</v>
      </c>
    </row>
    <row r="1577" spans="1:1" x14ac:dyDescent="0.2">
      <c r="A1577" s="1" t="s">
        <v>1577</v>
      </c>
    </row>
    <row r="1578" spans="1:1" x14ac:dyDescent="0.2">
      <c r="A1578" s="1" t="s">
        <v>1578</v>
      </c>
    </row>
    <row r="1579" spans="1:1" x14ac:dyDescent="0.2">
      <c r="A1579" s="1" t="s">
        <v>1579</v>
      </c>
    </row>
    <row r="1580" spans="1:1" x14ac:dyDescent="0.2">
      <c r="A1580" s="1" t="s">
        <v>1580</v>
      </c>
    </row>
    <row r="1581" spans="1:1" x14ac:dyDescent="0.2">
      <c r="A1581" s="1" t="s">
        <v>1581</v>
      </c>
    </row>
    <row r="1582" spans="1:1" x14ac:dyDescent="0.2">
      <c r="A1582" s="1" t="s">
        <v>1582</v>
      </c>
    </row>
    <row r="1583" spans="1:1" x14ac:dyDescent="0.2">
      <c r="A1583" s="1" t="s">
        <v>1583</v>
      </c>
    </row>
    <row r="1584" spans="1:1" x14ac:dyDescent="0.2">
      <c r="A1584" s="1" t="s">
        <v>1584</v>
      </c>
    </row>
    <row r="1585" spans="1:1" x14ac:dyDescent="0.2">
      <c r="A1585" s="1" t="s">
        <v>1585</v>
      </c>
    </row>
    <row r="1586" spans="1:1" x14ac:dyDescent="0.2">
      <c r="A1586" s="1" t="s">
        <v>1586</v>
      </c>
    </row>
    <row r="1587" spans="1:1" x14ac:dyDescent="0.2">
      <c r="A1587" s="1" t="s">
        <v>1587</v>
      </c>
    </row>
    <row r="1588" spans="1:1" x14ac:dyDescent="0.2">
      <c r="A1588" s="1" t="s">
        <v>1588</v>
      </c>
    </row>
    <row r="1589" spans="1:1" x14ac:dyDescent="0.2">
      <c r="A1589" s="1" t="s">
        <v>1589</v>
      </c>
    </row>
    <row r="1590" spans="1:1" x14ac:dyDescent="0.2">
      <c r="A1590" s="1" t="s">
        <v>1590</v>
      </c>
    </row>
    <row r="1591" spans="1:1" x14ac:dyDescent="0.2">
      <c r="A1591" s="1" t="s">
        <v>1591</v>
      </c>
    </row>
    <row r="1592" spans="1:1" x14ac:dyDescent="0.2">
      <c r="A1592" s="1" t="s">
        <v>1592</v>
      </c>
    </row>
    <row r="1593" spans="1:1" x14ac:dyDescent="0.2">
      <c r="A1593" s="1" t="s">
        <v>1593</v>
      </c>
    </row>
    <row r="1594" spans="1:1" x14ac:dyDescent="0.2">
      <c r="A1594" s="1" t="s">
        <v>1594</v>
      </c>
    </row>
    <row r="1595" spans="1:1" x14ac:dyDescent="0.2">
      <c r="A1595" s="1" t="s">
        <v>1595</v>
      </c>
    </row>
    <row r="1596" spans="1:1" x14ac:dyDescent="0.2">
      <c r="A1596" s="1" t="s">
        <v>1596</v>
      </c>
    </row>
    <row r="1597" spans="1:1" x14ac:dyDescent="0.2">
      <c r="A1597" s="1" t="s">
        <v>1597</v>
      </c>
    </row>
    <row r="1598" spans="1:1" x14ac:dyDescent="0.2">
      <c r="A1598" s="1" t="s">
        <v>1598</v>
      </c>
    </row>
    <row r="1599" spans="1:1" x14ac:dyDescent="0.2">
      <c r="A1599" s="1" t="s">
        <v>1599</v>
      </c>
    </row>
    <row r="1600" spans="1:1" x14ac:dyDescent="0.2">
      <c r="A1600" s="1" t="s">
        <v>1600</v>
      </c>
    </row>
    <row r="1601" spans="1:1" x14ac:dyDescent="0.2">
      <c r="A1601" s="1" t="s">
        <v>1601</v>
      </c>
    </row>
    <row r="1602" spans="1:1" x14ac:dyDescent="0.2">
      <c r="A1602" s="1" t="s">
        <v>1602</v>
      </c>
    </row>
    <row r="1603" spans="1:1" x14ac:dyDescent="0.2">
      <c r="A1603" s="1" t="s">
        <v>1603</v>
      </c>
    </row>
    <row r="1604" spans="1:1" x14ac:dyDescent="0.2">
      <c r="A1604" s="1" t="s">
        <v>1604</v>
      </c>
    </row>
    <row r="1605" spans="1:1" x14ac:dyDescent="0.2">
      <c r="A1605" s="1" t="s">
        <v>1605</v>
      </c>
    </row>
    <row r="1606" spans="1:1" x14ac:dyDescent="0.2">
      <c r="A1606" s="1" t="s">
        <v>1606</v>
      </c>
    </row>
    <row r="1607" spans="1:1" x14ac:dyDescent="0.2">
      <c r="A1607" s="1" t="s">
        <v>1607</v>
      </c>
    </row>
    <row r="1608" spans="1:1" x14ac:dyDescent="0.2">
      <c r="A1608" s="1" t="s">
        <v>1608</v>
      </c>
    </row>
    <row r="1609" spans="1:1" x14ac:dyDescent="0.2">
      <c r="A1609" s="1" t="s">
        <v>1609</v>
      </c>
    </row>
    <row r="1610" spans="1:1" x14ac:dyDescent="0.2">
      <c r="A1610" s="1" t="s">
        <v>1610</v>
      </c>
    </row>
    <row r="1611" spans="1:1" x14ac:dyDescent="0.2">
      <c r="A1611" s="1" t="s">
        <v>1611</v>
      </c>
    </row>
    <row r="1612" spans="1:1" x14ac:dyDescent="0.2">
      <c r="A1612" s="1" t="s">
        <v>1612</v>
      </c>
    </row>
    <row r="1613" spans="1:1" x14ac:dyDescent="0.2">
      <c r="A1613" s="1" t="s">
        <v>1613</v>
      </c>
    </row>
    <row r="1614" spans="1:1" x14ac:dyDescent="0.2">
      <c r="A1614" s="1" t="s">
        <v>1614</v>
      </c>
    </row>
    <row r="1615" spans="1:1" x14ac:dyDescent="0.2">
      <c r="A1615" s="1" t="s">
        <v>1615</v>
      </c>
    </row>
    <row r="1616" spans="1:1" x14ac:dyDescent="0.2">
      <c r="A1616" s="1" t="s">
        <v>1616</v>
      </c>
    </row>
    <row r="1617" spans="1:1" x14ac:dyDescent="0.2">
      <c r="A1617" s="1" t="s">
        <v>1617</v>
      </c>
    </row>
    <row r="1618" spans="1:1" x14ac:dyDescent="0.2">
      <c r="A1618" s="1" t="s">
        <v>1618</v>
      </c>
    </row>
    <row r="1619" spans="1:1" x14ac:dyDescent="0.2">
      <c r="A1619" s="1" t="s">
        <v>1619</v>
      </c>
    </row>
    <row r="1620" spans="1:1" x14ac:dyDescent="0.2">
      <c r="A1620" s="1" t="s">
        <v>1620</v>
      </c>
    </row>
    <row r="1621" spans="1:1" x14ac:dyDescent="0.2">
      <c r="A1621" s="1" t="s">
        <v>1621</v>
      </c>
    </row>
    <row r="1622" spans="1:1" x14ac:dyDescent="0.2">
      <c r="A1622" s="1" t="s">
        <v>1622</v>
      </c>
    </row>
    <row r="1623" spans="1:1" x14ac:dyDescent="0.2">
      <c r="A1623" s="1" t="s">
        <v>1623</v>
      </c>
    </row>
    <row r="1624" spans="1:1" x14ac:dyDescent="0.2">
      <c r="A1624" s="1" t="s">
        <v>1624</v>
      </c>
    </row>
    <row r="1625" spans="1:1" x14ac:dyDescent="0.2">
      <c r="A1625" s="1" t="s">
        <v>1625</v>
      </c>
    </row>
    <row r="1626" spans="1:1" x14ac:dyDescent="0.2">
      <c r="A1626" s="1" t="s">
        <v>1626</v>
      </c>
    </row>
    <row r="1627" spans="1:1" x14ac:dyDescent="0.2">
      <c r="A1627" s="1" t="s">
        <v>1627</v>
      </c>
    </row>
    <row r="1628" spans="1:1" x14ac:dyDescent="0.2">
      <c r="A1628" s="1" t="s">
        <v>1628</v>
      </c>
    </row>
    <row r="1629" spans="1:1" x14ac:dyDescent="0.2">
      <c r="A1629" s="1" t="s">
        <v>1629</v>
      </c>
    </row>
    <row r="1630" spans="1:1" x14ac:dyDescent="0.2">
      <c r="A1630" s="1" t="s">
        <v>1630</v>
      </c>
    </row>
    <row r="1631" spans="1:1" x14ac:dyDescent="0.2">
      <c r="A1631" s="1" t="s">
        <v>1631</v>
      </c>
    </row>
    <row r="1632" spans="1:1" x14ac:dyDescent="0.2">
      <c r="A1632" s="1" t="s">
        <v>1632</v>
      </c>
    </row>
    <row r="1633" spans="1:1" x14ac:dyDescent="0.2">
      <c r="A1633" s="1" t="s">
        <v>1633</v>
      </c>
    </row>
    <row r="1634" spans="1:1" x14ac:dyDescent="0.2">
      <c r="A1634" s="1" t="s">
        <v>1634</v>
      </c>
    </row>
    <row r="1635" spans="1:1" x14ac:dyDescent="0.2">
      <c r="A1635" s="1" t="s">
        <v>1635</v>
      </c>
    </row>
    <row r="1636" spans="1:1" x14ac:dyDescent="0.2">
      <c r="A1636" s="1" t="s">
        <v>1636</v>
      </c>
    </row>
    <row r="1637" spans="1:1" x14ac:dyDescent="0.2">
      <c r="A1637" s="1" t="s">
        <v>1637</v>
      </c>
    </row>
    <row r="1638" spans="1:1" x14ac:dyDescent="0.2">
      <c r="A1638" s="1" t="s">
        <v>1638</v>
      </c>
    </row>
    <row r="1639" spans="1:1" x14ac:dyDescent="0.2">
      <c r="A1639" s="1" t="s">
        <v>1639</v>
      </c>
    </row>
    <row r="1640" spans="1:1" x14ac:dyDescent="0.2">
      <c r="A1640" s="1" t="s">
        <v>1640</v>
      </c>
    </row>
    <row r="1641" spans="1:1" x14ac:dyDescent="0.2">
      <c r="A1641" s="1" t="s">
        <v>1641</v>
      </c>
    </row>
    <row r="1642" spans="1:1" x14ac:dyDescent="0.2">
      <c r="A1642" s="1" t="s">
        <v>1642</v>
      </c>
    </row>
    <row r="1643" spans="1:1" x14ac:dyDescent="0.2">
      <c r="A1643" s="1" t="s">
        <v>1643</v>
      </c>
    </row>
    <row r="1644" spans="1:1" x14ac:dyDescent="0.2">
      <c r="A1644" s="1" t="s">
        <v>1644</v>
      </c>
    </row>
    <row r="1645" spans="1:1" x14ac:dyDescent="0.2">
      <c r="A1645" s="1" t="s">
        <v>1645</v>
      </c>
    </row>
    <row r="1646" spans="1:1" x14ac:dyDescent="0.2">
      <c r="A1646" s="1" t="s">
        <v>1646</v>
      </c>
    </row>
    <row r="1647" spans="1:1" x14ac:dyDescent="0.2">
      <c r="A1647" s="1" t="s">
        <v>1647</v>
      </c>
    </row>
    <row r="1648" spans="1:1" x14ac:dyDescent="0.2">
      <c r="A1648" s="1" t="s">
        <v>1648</v>
      </c>
    </row>
    <row r="1649" spans="1:1" x14ac:dyDescent="0.2">
      <c r="A1649" s="1" t="s">
        <v>1649</v>
      </c>
    </row>
    <row r="1650" spans="1:1" x14ac:dyDescent="0.2">
      <c r="A1650" s="1" t="s">
        <v>1650</v>
      </c>
    </row>
    <row r="1651" spans="1:1" x14ac:dyDescent="0.2">
      <c r="A1651" s="1" t="s">
        <v>1651</v>
      </c>
    </row>
    <row r="1652" spans="1:1" x14ac:dyDescent="0.2">
      <c r="A1652" s="1" t="s">
        <v>1652</v>
      </c>
    </row>
    <row r="1653" spans="1:1" x14ac:dyDescent="0.2">
      <c r="A1653" s="1" t="s">
        <v>1653</v>
      </c>
    </row>
    <row r="1654" spans="1:1" x14ac:dyDescent="0.2">
      <c r="A1654" s="1" t="s">
        <v>1654</v>
      </c>
    </row>
    <row r="1655" spans="1:1" x14ac:dyDescent="0.2">
      <c r="A1655" s="1" t="s">
        <v>1655</v>
      </c>
    </row>
    <row r="1656" spans="1:1" x14ac:dyDescent="0.2">
      <c r="A1656" s="1" t="s">
        <v>1656</v>
      </c>
    </row>
    <row r="1657" spans="1:1" x14ac:dyDescent="0.2">
      <c r="A1657" s="1" t="s">
        <v>1657</v>
      </c>
    </row>
    <row r="1658" spans="1:1" x14ac:dyDescent="0.2">
      <c r="A1658" s="1" t="s">
        <v>1658</v>
      </c>
    </row>
    <row r="1659" spans="1:1" x14ac:dyDescent="0.2">
      <c r="A1659" s="1" t="s">
        <v>1659</v>
      </c>
    </row>
    <row r="1660" spans="1:1" x14ac:dyDescent="0.2">
      <c r="A1660" s="1" t="s">
        <v>1660</v>
      </c>
    </row>
    <row r="1661" spans="1:1" x14ac:dyDescent="0.2">
      <c r="A1661" s="1" t="s">
        <v>1661</v>
      </c>
    </row>
    <row r="1662" spans="1:1" x14ac:dyDescent="0.2">
      <c r="A1662" s="1" t="s">
        <v>1662</v>
      </c>
    </row>
    <row r="1663" spans="1:1" x14ac:dyDescent="0.2">
      <c r="A1663" s="1" t="s">
        <v>1663</v>
      </c>
    </row>
    <row r="1664" spans="1:1" x14ac:dyDescent="0.2">
      <c r="A1664" s="1" t="s">
        <v>1664</v>
      </c>
    </row>
    <row r="1665" spans="1:1" x14ac:dyDescent="0.2">
      <c r="A1665" s="1" t="s">
        <v>1665</v>
      </c>
    </row>
    <row r="1666" spans="1:1" x14ac:dyDescent="0.2">
      <c r="A1666" s="1" t="s">
        <v>1666</v>
      </c>
    </row>
    <row r="1667" spans="1:1" x14ac:dyDescent="0.2">
      <c r="A1667" s="1" t="s">
        <v>1667</v>
      </c>
    </row>
    <row r="1668" spans="1:1" x14ac:dyDescent="0.2">
      <c r="A1668" s="1" t="s">
        <v>1668</v>
      </c>
    </row>
    <row r="1669" spans="1:1" x14ac:dyDescent="0.2">
      <c r="A1669" s="1" t="s">
        <v>1669</v>
      </c>
    </row>
    <row r="1670" spans="1:1" x14ac:dyDescent="0.2">
      <c r="A1670" s="1" t="s">
        <v>1670</v>
      </c>
    </row>
    <row r="1671" spans="1:1" x14ac:dyDescent="0.2">
      <c r="A1671" s="1" t="s">
        <v>1671</v>
      </c>
    </row>
    <row r="1672" spans="1:1" x14ac:dyDescent="0.2">
      <c r="A1672" s="1" t="s">
        <v>1672</v>
      </c>
    </row>
    <row r="1673" spans="1:1" x14ac:dyDescent="0.2">
      <c r="A1673" s="1" t="s">
        <v>1673</v>
      </c>
    </row>
    <row r="1674" spans="1:1" x14ac:dyDescent="0.2">
      <c r="A1674" s="1" t="s">
        <v>1674</v>
      </c>
    </row>
    <row r="1675" spans="1:1" x14ac:dyDescent="0.2">
      <c r="A1675" s="1" t="s">
        <v>1675</v>
      </c>
    </row>
    <row r="1676" spans="1:1" x14ac:dyDescent="0.2">
      <c r="A1676" s="1" t="s">
        <v>1676</v>
      </c>
    </row>
    <row r="1677" spans="1:1" x14ac:dyDescent="0.2">
      <c r="A1677" s="1" t="s">
        <v>1677</v>
      </c>
    </row>
    <row r="1678" spans="1:1" x14ac:dyDescent="0.2">
      <c r="A1678" s="1" t="s">
        <v>1678</v>
      </c>
    </row>
    <row r="1679" spans="1:1" x14ac:dyDescent="0.2">
      <c r="A1679" s="1" t="s">
        <v>1679</v>
      </c>
    </row>
    <row r="1680" spans="1:1" x14ac:dyDescent="0.2">
      <c r="A1680" s="1" t="s">
        <v>1680</v>
      </c>
    </row>
    <row r="1681" spans="1:1" x14ac:dyDescent="0.2">
      <c r="A1681" s="1" t="s">
        <v>1681</v>
      </c>
    </row>
    <row r="1682" spans="1:1" x14ac:dyDescent="0.2">
      <c r="A1682" s="1" t="s">
        <v>1682</v>
      </c>
    </row>
    <row r="1683" spans="1:1" x14ac:dyDescent="0.2">
      <c r="A1683" s="1" t="s">
        <v>1683</v>
      </c>
    </row>
    <row r="1684" spans="1:1" x14ac:dyDescent="0.2">
      <c r="A1684" s="1" t="s">
        <v>1684</v>
      </c>
    </row>
    <row r="1685" spans="1:1" x14ac:dyDescent="0.2">
      <c r="A1685" s="1" t="s">
        <v>1685</v>
      </c>
    </row>
    <row r="1686" spans="1:1" x14ac:dyDescent="0.2">
      <c r="A1686" s="1" t="s">
        <v>1686</v>
      </c>
    </row>
    <row r="1687" spans="1:1" x14ac:dyDescent="0.2">
      <c r="A1687" s="1" t="s">
        <v>1687</v>
      </c>
    </row>
    <row r="1688" spans="1:1" x14ac:dyDescent="0.2">
      <c r="A1688" s="1" t="s">
        <v>1688</v>
      </c>
    </row>
    <row r="1689" spans="1:1" x14ac:dyDescent="0.2">
      <c r="A1689" s="1" t="s">
        <v>1689</v>
      </c>
    </row>
    <row r="1690" spans="1:1" x14ac:dyDescent="0.2">
      <c r="A1690" s="1" t="s">
        <v>1690</v>
      </c>
    </row>
    <row r="1691" spans="1:1" x14ac:dyDescent="0.2">
      <c r="A1691" s="1" t="s">
        <v>1691</v>
      </c>
    </row>
    <row r="1692" spans="1:1" x14ac:dyDescent="0.2">
      <c r="A1692" s="1" t="s">
        <v>1692</v>
      </c>
    </row>
    <row r="1693" spans="1:1" x14ac:dyDescent="0.2">
      <c r="A1693" s="1" t="s">
        <v>1693</v>
      </c>
    </row>
    <row r="1694" spans="1:1" x14ac:dyDescent="0.2">
      <c r="A1694" s="1" t="s">
        <v>1694</v>
      </c>
    </row>
    <row r="1695" spans="1:1" x14ac:dyDescent="0.2">
      <c r="A1695" s="1" t="s">
        <v>1695</v>
      </c>
    </row>
    <row r="1696" spans="1:1" x14ac:dyDescent="0.2">
      <c r="A1696" s="1" t="s">
        <v>1696</v>
      </c>
    </row>
    <row r="1697" spans="1:1" x14ac:dyDescent="0.2">
      <c r="A1697" s="1" t="s">
        <v>1697</v>
      </c>
    </row>
    <row r="1698" spans="1:1" x14ac:dyDescent="0.2">
      <c r="A1698" s="1" t="s">
        <v>1698</v>
      </c>
    </row>
    <row r="1699" spans="1:1" x14ac:dyDescent="0.2">
      <c r="A1699" s="1" t="s">
        <v>1699</v>
      </c>
    </row>
    <row r="1700" spans="1:1" x14ac:dyDescent="0.2">
      <c r="A1700" s="1" t="s">
        <v>1700</v>
      </c>
    </row>
    <row r="1701" spans="1:1" x14ac:dyDescent="0.2">
      <c r="A1701" s="1" t="s">
        <v>1701</v>
      </c>
    </row>
    <row r="1702" spans="1:1" x14ac:dyDescent="0.2">
      <c r="A1702" s="1" t="s">
        <v>1702</v>
      </c>
    </row>
    <row r="1703" spans="1:1" x14ac:dyDescent="0.2">
      <c r="A1703" s="1" t="s">
        <v>1703</v>
      </c>
    </row>
    <row r="1704" spans="1:1" x14ac:dyDescent="0.2">
      <c r="A1704" s="1" t="s">
        <v>1704</v>
      </c>
    </row>
    <row r="1705" spans="1:1" x14ac:dyDescent="0.2">
      <c r="A1705" s="1" t="s">
        <v>1705</v>
      </c>
    </row>
    <row r="1706" spans="1:1" x14ac:dyDescent="0.2">
      <c r="A1706" s="1" t="s">
        <v>1706</v>
      </c>
    </row>
    <row r="1707" spans="1:1" x14ac:dyDescent="0.2">
      <c r="A1707" s="1" t="s">
        <v>1707</v>
      </c>
    </row>
    <row r="1708" spans="1:1" x14ac:dyDescent="0.2">
      <c r="A1708" s="1" t="s">
        <v>1708</v>
      </c>
    </row>
    <row r="1709" spans="1:1" x14ac:dyDescent="0.2">
      <c r="A1709" s="1" t="s">
        <v>1709</v>
      </c>
    </row>
    <row r="1710" spans="1:1" x14ac:dyDescent="0.2">
      <c r="A1710" s="1" t="s">
        <v>1710</v>
      </c>
    </row>
    <row r="1711" spans="1:1" x14ac:dyDescent="0.2">
      <c r="A1711" s="1" t="s">
        <v>1711</v>
      </c>
    </row>
    <row r="1712" spans="1:1" x14ac:dyDescent="0.2">
      <c r="A1712" s="1" t="s">
        <v>1712</v>
      </c>
    </row>
    <row r="1713" spans="1:1" x14ac:dyDescent="0.2">
      <c r="A1713" s="1" t="s">
        <v>1713</v>
      </c>
    </row>
    <row r="1714" spans="1:1" x14ac:dyDescent="0.2">
      <c r="A1714" s="1" t="s">
        <v>1714</v>
      </c>
    </row>
    <row r="1715" spans="1:1" x14ac:dyDescent="0.2">
      <c r="A1715" s="1" t="s">
        <v>1715</v>
      </c>
    </row>
    <row r="1716" spans="1:1" x14ac:dyDescent="0.2">
      <c r="A1716" s="1" t="s">
        <v>1716</v>
      </c>
    </row>
    <row r="1717" spans="1:1" x14ac:dyDescent="0.2">
      <c r="A1717" s="1" t="s">
        <v>1717</v>
      </c>
    </row>
    <row r="1718" spans="1:1" x14ac:dyDescent="0.2">
      <c r="A1718" s="1" t="s">
        <v>1718</v>
      </c>
    </row>
    <row r="1719" spans="1:1" x14ac:dyDescent="0.2">
      <c r="A1719" s="1" t="s">
        <v>1719</v>
      </c>
    </row>
    <row r="1720" spans="1:1" x14ac:dyDescent="0.2">
      <c r="A1720" s="1" t="s">
        <v>1720</v>
      </c>
    </row>
    <row r="1721" spans="1:1" x14ac:dyDescent="0.2">
      <c r="A1721" s="1" t="s">
        <v>1721</v>
      </c>
    </row>
    <row r="1722" spans="1:1" x14ac:dyDescent="0.2">
      <c r="A1722" s="1" t="s">
        <v>1722</v>
      </c>
    </row>
    <row r="1723" spans="1:1" x14ac:dyDescent="0.2">
      <c r="A1723" s="1" t="s">
        <v>1723</v>
      </c>
    </row>
    <row r="1724" spans="1:1" x14ac:dyDescent="0.2">
      <c r="A1724" s="1" t="s">
        <v>1724</v>
      </c>
    </row>
    <row r="1725" spans="1:1" x14ac:dyDescent="0.2">
      <c r="A1725" s="1" t="s">
        <v>1725</v>
      </c>
    </row>
    <row r="1726" spans="1:1" x14ac:dyDescent="0.2">
      <c r="A1726" s="1" t="s">
        <v>1726</v>
      </c>
    </row>
    <row r="1727" spans="1:1" x14ac:dyDescent="0.2">
      <c r="A1727" s="1" t="s">
        <v>1727</v>
      </c>
    </row>
    <row r="1728" spans="1:1" x14ac:dyDescent="0.2">
      <c r="A1728" s="1" t="s">
        <v>1728</v>
      </c>
    </row>
    <row r="1729" spans="1:1" x14ac:dyDescent="0.2">
      <c r="A1729" s="1" t="s">
        <v>1729</v>
      </c>
    </row>
    <row r="1730" spans="1:1" x14ac:dyDescent="0.2">
      <c r="A1730" s="1" t="s">
        <v>1730</v>
      </c>
    </row>
    <row r="1731" spans="1:1" x14ac:dyDescent="0.2">
      <c r="A1731" s="1" t="s">
        <v>1731</v>
      </c>
    </row>
    <row r="1732" spans="1:1" x14ac:dyDescent="0.2">
      <c r="A1732" s="1" t="s">
        <v>1732</v>
      </c>
    </row>
    <row r="1733" spans="1:1" x14ac:dyDescent="0.2">
      <c r="A1733" s="1" t="s">
        <v>1733</v>
      </c>
    </row>
    <row r="1734" spans="1:1" x14ac:dyDescent="0.2">
      <c r="A1734" s="1" t="s">
        <v>1734</v>
      </c>
    </row>
    <row r="1735" spans="1:1" x14ac:dyDescent="0.2">
      <c r="A1735" s="1" t="s">
        <v>1735</v>
      </c>
    </row>
    <row r="1736" spans="1:1" x14ac:dyDescent="0.2">
      <c r="A1736" s="1" t="s">
        <v>1736</v>
      </c>
    </row>
    <row r="1737" spans="1:1" x14ac:dyDescent="0.2">
      <c r="A1737" s="1" t="s">
        <v>1737</v>
      </c>
    </row>
    <row r="1738" spans="1:1" x14ac:dyDescent="0.2">
      <c r="A1738" s="1" t="s">
        <v>1738</v>
      </c>
    </row>
    <row r="1739" spans="1:1" x14ac:dyDescent="0.2">
      <c r="A1739" s="1" t="s">
        <v>1739</v>
      </c>
    </row>
    <row r="1740" spans="1:1" x14ac:dyDescent="0.2">
      <c r="A1740" s="1" t="s">
        <v>1740</v>
      </c>
    </row>
    <row r="1741" spans="1:1" x14ac:dyDescent="0.2">
      <c r="A1741" s="1" t="s">
        <v>1741</v>
      </c>
    </row>
    <row r="1742" spans="1:1" x14ac:dyDescent="0.2">
      <c r="A1742" s="1" t="s">
        <v>1742</v>
      </c>
    </row>
    <row r="1743" spans="1:1" x14ac:dyDescent="0.2">
      <c r="A1743" s="1" t="s">
        <v>1743</v>
      </c>
    </row>
    <row r="1744" spans="1:1" x14ac:dyDescent="0.2">
      <c r="A1744" s="1" t="s">
        <v>1744</v>
      </c>
    </row>
    <row r="1745" spans="1:1" x14ac:dyDescent="0.2">
      <c r="A1745" s="1" t="s">
        <v>1745</v>
      </c>
    </row>
    <row r="1746" spans="1:1" x14ac:dyDescent="0.2">
      <c r="A1746" s="1" t="s">
        <v>1746</v>
      </c>
    </row>
    <row r="1747" spans="1:1" x14ac:dyDescent="0.2">
      <c r="A1747" s="1" t="s">
        <v>1747</v>
      </c>
    </row>
    <row r="1748" spans="1:1" x14ac:dyDescent="0.2">
      <c r="A1748" s="1" t="s">
        <v>1748</v>
      </c>
    </row>
    <row r="1749" spans="1:1" x14ac:dyDescent="0.2">
      <c r="A1749" s="1" t="s">
        <v>1749</v>
      </c>
    </row>
    <row r="1750" spans="1:1" x14ac:dyDescent="0.2">
      <c r="A1750" s="1" t="s">
        <v>1750</v>
      </c>
    </row>
    <row r="1751" spans="1:1" x14ac:dyDescent="0.2">
      <c r="A1751" s="1" t="s">
        <v>1751</v>
      </c>
    </row>
    <row r="1752" spans="1:1" x14ac:dyDescent="0.2">
      <c r="A1752" s="1" t="s">
        <v>1752</v>
      </c>
    </row>
    <row r="1753" spans="1:1" x14ac:dyDescent="0.2">
      <c r="A1753" s="1" t="s">
        <v>1753</v>
      </c>
    </row>
    <row r="1754" spans="1:1" x14ac:dyDescent="0.2">
      <c r="A1754" s="1" t="s">
        <v>1754</v>
      </c>
    </row>
    <row r="1755" spans="1:1" x14ac:dyDescent="0.2">
      <c r="A1755" s="1" t="s">
        <v>1755</v>
      </c>
    </row>
    <row r="1756" spans="1:1" x14ac:dyDescent="0.2">
      <c r="A1756" s="1" t="s">
        <v>1756</v>
      </c>
    </row>
    <row r="1757" spans="1:1" x14ac:dyDescent="0.2">
      <c r="A1757" s="1" t="s">
        <v>1757</v>
      </c>
    </row>
    <row r="1758" spans="1:1" x14ac:dyDescent="0.2">
      <c r="A1758" s="1" t="s">
        <v>1758</v>
      </c>
    </row>
    <row r="1759" spans="1:1" x14ac:dyDescent="0.2">
      <c r="A1759" s="1" t="s">
        <v>1759</v>
      </c>
    </row>
    <row r="1760" spans="1:1" x14ac:dyDescent="0.2">
      <c r="A1760" s="1" t="s">
        <v>1760</v>
      </c>
    </row>
    <row r="1761" spans="1:1" x14ac:dyDescent="0.2">
      <c r="A1761" s="1" t="s">
        <v>1761</v>
      </c>
    </row>
    <row r="1762" spans="1:1" x14ac:dyDescent="0.2">
      <c r="A1762" s="1" t="s">
        <v>1762</v>
      </c>
    </row>
    <row r="1763" spans="1:1" x14ac:dyDescent="0.2">
      <c r="A1763" s="1" t="s">
        <v>1763</v>
      </c>
    </row>
    <row r="1764" spans="1:1" x14ac:dyDescent="0.2">
      <c r="A1764" s="1" t="s">
        <v>1764</v>
      </c>
    </row>
    <row r="1765" spans="1:1" x14ac:dyDescent="0.2">
      <c r="A1765" s="1" t="s">
        <v>1765</v>
      </c>
    </row>
    <row r="1766" spans="1:1" x14ac:dyDescent="0.2">
      <c r="A1766" s="1" t="s">
        <v>1766</v>
      </c>
    </row>
    <row r="1767" spans="1:1" x14ac:dyDescent="0.2">
      <c r="A1767" s="1" t="s">
        <v>1767</v>
      </c>
    </row>
    <row r="1768" spans="1:1" x14ac:dyDescent="0.2">
      <c r="A1768" s="1" t="s">
        <v>1768</v>
      </c>
    </row>
    <row r="1769" spans="1:1" x14ac:dyDescent="0.2">
      <c r="A1769" s="1" t="s">
        <v>1769</v>
      </c>
    </row>
    <row r="1770" spans="1:1" x14ac:dyDescent="0.2">
      <c r="A1770" s="1" t="s">
        <v>1770</v>
      </c>
    </row>
    <row r="1771" spans="1:1" x14ac:dyDescent="0.2">
      <c r="A1771" s="1" t="s">
        <v>1771</v>
      </c>
    </row>
    <row r="1772" spans="1:1" x14ac:dyDescent="0.2">
      <c r="A1772" s="1" t="s">
        <v>1772</v>
      </c>
    </row>
    <row r="1773" spans="1:1" x14ac:dyDescent="0.2">
      <c r="A1773" s="1" t="s">
        <v>1773</v>
      </c>
    </row>
    <row r="1774" spans="1:1" x14ac:dyDescent="0.2">
      <c r="A1774" s="1" t="s">
        <v>1774</v>
      </c>
    </row>
    <row r="1775" spans="1:1" x14ac:dyDescent="0.2">
      <c r="A1775" s="1" t="s">
        <v>1775</v>
      </c>
    </row>
    <row r="1776" spans="1:1" x14ac:dyDescent="0.2">
      <c r="A1776" s="1" t="s">
        <v>1776</v>
      </c>
    </row>
    <row r="1777" spans="1:1" x14ac:dyDescent="0.2">
      <c r="A1777" s="1" t="s">
        <v>1777</v>
      </c>
    </row>
    <row r="1778" spans="1:1" x14ac:dyDescent="0.2">
      <c r="A1778" s="1" t="s">
        <v>1778</v>
      </c>
    </row>
    <row r="1779" spans="1:1" x14ac:dyDescent="0.2">
      <c r="A1779" s="1" t="s">
        <v>1779</v>
      </c>
    </row>
    <row r="1780" spans="1:1" x14ac:dyDescent="0.2">
      <c r="A1780" s="1" t="s">
        <v>1780</v>
      </c>
    </row>
    <row r="1781" spans="1:1" x14ac:dyDescent="0.2">
      <c r="A1781" s="1" t="s">
        <v>1781</v>
      </c>
    </row>
    <row r="1782" spans="1:1" x14ac:dyDescent="0.2">
      <c r="A1782" s="1" t="s">
        <v>1782</v>
      </c>
    </row>
    <row r="1783" spans="1:1" x14ac:dyDescent="0.2">
      <c r="A1783" s="1" t="s">
        <v>1783</v>
      </c>
    </row>
    <row r="1784" spans="1:1" x14ac:dyDescent="0.2">
      <c r="A1784" s="1" t="s">
        <v>1784</v>
      </c>
    </row>
    <row r="1785" spans="1:1" x14ac:dyDescent="0.2">
      <c r="A1785" s="1" t="s">
        <v>1785</v>
      </c>
    </row>
    <row r="1786" spans="1:1" x14ac:dyDescent="0.2">
      <c r="A1786" s="1" t="s">
        <v>1786</v>
      </c>
    </row>
    <row r="1787" spans="1:1" x14ac:dyDescent="0.2">
      <c r="A1787" s="1" t="s">
        <v>1787</v>
      </c>
    </row>
    <row r="1788" spans="1:1" x14ac:dyDescent="0.2">
      <c r="A1788" s="1" t="s">
        <v>1788</v>
      </c>
    </row>
    <row r="1789" spans="1:1" x14ac:dyDescent="0.2">
      <c r="A1789" s="1" t="s">
        <v>1789</v>
      </c>
    </row>
    <row r="1790" spans="1:1" x14ac:dyDescent="0.2">
      <c r="A1790" s="1" t="s">
        <v>1790</v>
      </c>
    </row>
    <row r="1791" spans="1:1" x14ac:dyDescent="0.2">
      <c r="A1791" s="1" t="s">
        <v>1791</v>
      </c>
    </row>
    <row r="1792" spans="1:1" x14ac:dyDescent="0.2">
      <c r="A1792" s="1" t="s">
        <v>1792</v>
      </c>
    </row>
    <row r="1793" spans="1:1" x14ac:dyDescent="0.2">
      <c r="A1793" s="1" t="s">
        <v>1793</v>
      </c>
    </row>
    <row r="1794" spans="1:1" x14ac:dyDescent="0.2">
      <c r="A1794" s="1" t="s">
        <v>1794</v>
      </c>
    </row>
    <row r="1795" spans="1:1" x14ac:dyDescent="0.2">
      <c r="A1795" s="1" t="s">
        <v>1795</v>
      </c>
    </row>
    <row r="1796" spans="1:1" x14ac:dyDescent="0.2">
      <c r="A1796" s="1" t="s">
        <v>1796</v>
      </c>
    </row>
    <row r="1797" spans="1:1" x14ac:dyDescent="0.2">
      <c r="A1797" s="1" t="s">
        <v>1797</v>
      </c>
    </row>
    <row r="1798" spans="1:1" x14ac:dyDescent="0.2">
      <c r="A1798" s="1" t="s">
        <v>1798</v>
      </c>
    </row>
    <row r="1799" spans="1:1" x14ac:dyDescent="0.2">
      <c r="A1799" s="1" t="s">
        <v>1799</v>
      </c>
    </row>
    <row r="1800" spans="1:1" x14ac:dyDescent="0.2">
      <c r="A1800" s="1" t="s">
        <v>1800</v>
      </c>
    </row>
    <row r="1801" spans="1:1" x14ac:dyDescent="0.2">
      <c r="A1801" s="1" t="s">
        <v>1801</v>
      </c>
    </row>
    <row r="1802" spans="1:1" x14ac:dyDescent="0.2">
      <c r="A1802" s="1" t="s">
        <v>1802</v>
      </c>
    </row>
    <row r="1803" spans="1:1" x14ac:dyDescent="0.2">
      <c r="A1803" s="1" t="s">
        <v>1803</v>
      </c>
    </row>
    <row r="1804" spans="1:1" x14ac:dyDescent="0.2">
      <c r="A1804" s="1" t="s">
        <v>1804</v>
      </c>
    </row>
    <row r="1805" spans="1:1" x14ac:dyDescent="0.2">
      <c r="A1805" s="1" t="s">
        <v>1805</v>
      </c>
    </row>
    <row r="1806" spans="1:1" x14ac:dyDescent="0.2">
      <c r="A1806" s="1" t="s">
        <v>1806</v>
      </c>
    </row>
    <row r="1807" spans="1:1" x14ac:dyDescent="0.2">
      <c r="A1807" s="1" t="s">
        <v>1807</v>
      </c>
    </row>
    <row r="1808" spans="1:1" x14ac:dyDescent="0.2">
      <c r="A1808" s="1" t="s">
        <v>1808</v>
      </c>
    </row>
    <row r="1809" spans="1:1" x14ac:dyDescent="0.2">
      <c r="A1809" s="1" t="s">
        <v>1809</v>
      </c>
    </row>
    <row r="1810" spans="1:1" x14ac:dyDescent="0.2">
      <c r="A1810" s="1" t="s">
        <v>1810</v>
      </c>
    </row>
    <row r="1811" spans="1:1" x14ac:dyDescent="0.2">
      <c r="A1811" s="1" t="s">
        <v>1811</v>
      </c>
    </row>
    <row r="1812" spans="1:1" x14ac:dyDescent="0.2">
      <c r="A1812" s="1" t="s">
        <v>1812</v>
      </c>
    </row>
    <row r="1813" spans="1:1" x14ac:dyDescent="0.2">
      <c r="A1813" s="1" t="s">
        <v>1813</v>
      </c>
    </row>
    <row r="1814" spans="1:1" x14ac:dyDescent="0.2">
      <c r="A1814" s="1" t="s">
        <v>1814</v>
      </c>
    </row>
    <row r="1815" spans="1:1" x14ac:dyDescent="0.2">
      <c r="A1815" s="1" t="s">
        <v>1815</v>
      </c>
    </row>
    <row r="1816" spans="1:1" x14ac:dyDescent="0.2">
      <c r="A1816" s="1" t="s">
        <v>1816</v>
      </c>
    </row>
    <row r="1817" spans="1:1" x14ac:dyDescent="0.2">
      <c r="A1817" s="1" t="s">
        <v>1817</v>
      </c>
    </row>
    <row r="1818" spans="1:1" x14ac:dyDescent="0.2">
      <c r="A1818" s="1" t="s">
        <v>1818</v>
      </c>
    </row>
    <row r="1819" spans="1:1" x14ac:dyDescent="0.2">
      <c r="A1819" s="1" t="s">
        <v>1819</v>
      </c>
    </row>
    <row r="1820" spans="1:1" x14ac:dyDescent="0.2">
      <c r="A1820" s="1" t="s">
        <v>1820</v>
      </c>
    </row>
    <row r="1821" spans="1:1" x14ac:dyDescent="0.2">
      <c r="A1821" s="1" t="s">
        <v>1821</v>
      </c>
    </row>
    <row r="1822" spans="1:1" x14ac:dyDescent="0.2">
      <c r="A1822" s="1" t="s">
        <v>1822</v>
      </c>
    </row>
    <row r="1823" spans="1:1" x14ac:dyDescent="0.2">
      <c r="A1823" s="1" t="s">
        <v>1823</v>
      </c>
    </row>
    <row r="1824" spans="1:1" x14ac:dyDescent="0.2">
      <c r="A1824" s="1" t="s">
        <v>1824</v>
      </c>
    </row>
    <row r="1825" spans="1:1" x14ac:dyDescent="0.2">
      <c r="A1825" s="1" t="s">
        <v>1825</v>
      </c>
    </row>
    <row r="1826" spans="1:1" x14ac:dyDescent="0.2">
      <c r="A1826" s="1" t="s">
        <v>1826</v>
      </c>
    </row>
    <row r="1827" spans="1:1" x14ac:dyDescent="0.2">
      <c r="A1827" s="1" t="s">
        <v>1827</v>
      </c>
    </row>
    <row r="1828" spans="1:1" x14ac:dyDescent="0.2">
      <c r="A1828" s="1" t="s">
        <v>1828</v>
      </c>
    </row>
    <row r="1829" spans="1:1" x14ac:dyDescent="0.2">
      <c r="A1829" s="1" t="s">
        <v>1829</v>
      </c>
    </row>
    <row r="1830" spans="1:1" x14ac:dyDescent="0.2">
      <c r="A1830" s="1" t="s">
        <v>1830</v>
      </c>
    </row>
    <row r="1831" spans="1:1" x14ac:dyDescent="0.2">
      <c r="A1831" s="1" t="s">
        <v>1831</v>
      </c>
    </row>
    <row r="1832" spans="1:1" x14ac:dyDescent="0.2">
      <c r="A1832" s="1" t="s">
        <v>1832</v>
      </c>
    </row>
    <row r="1833" spans="1:1" x14ac:dyDescent="0.2">
      <c r="A1833" s="1" t="s">
        <v>1833</v>
      </c>
    </row>
    <row r="1834" spans="1:1" x14ac:dyDescent="0.2">
      <c r="A1834" s="1" t="s">
        <v>1834</v>
      </c>
    </row>
    <row r="1835" spans="1:1" x14ac:dyDescent="0.2">
      <c r="A1835" s="1" t="s">
        <v>1835</v>
      </c>
    </row>
    <row r="1836" spans="1:1" x14ac:dyDescent="0.2">
      <c r="A1836" s="1" t="s">
        <v>1836</v>
      </c>
    </row>
    <row r="1837" spans="1:1" x14ac:dyDescent="0.2">
      <c r="A1837" s="1" t="s">
        <v>1837</v>
      </c>
    </row>
    <row r="1838" spans="1:1" x14ac:dyDescent="0.2">
      <c r="A1838" s="1" t="s">
        <v>1838</v>
      </c>
    </row>
    <row r="1839" spans="1:1" x14ac:dyDescent="0.2">
      <c r="A1839" s="1" t="s">
        <v>1839</v>
      </c>
    </row>
    <row r="1840" spans="1:1" x14ac:dyDescent="0.2">
      <c r="A1840" s="1" t="s">
        <v>1840</v>
      </c>
    </row>
    <row r="1841" spans="1:1" x14ac:dyDescent="0.2">
      <c r="A1841" s="1" t="s">
        <v>1841</v>
      </c>
    </row>
    <row r="1842" spans="1:1" x14ac:dyDescent="0.2">
      <c r="A1842" s="1" t="s">
        <v>1842</v>
      </c>
    </row>
    <row r="1843" spans="1:1" x14ac:dyDescent="0.2">
      <c r="A1843" s="1" t="s">
        <v>1843</v>
      </c>
    </row>
    <row r="1844" spans="1:1" x14ac:dyDescent="0.2">
      <c r="A1844" s="1" t="s">
        <v>1844</v>
      </c>
    </row>
    <row r="1845" spans="1:1" x14ac:dyDescent="0.2">
      <c r="A1845" s="1" t="s">
        <v>1845</v>
      </c>
    </row>
    <row r="1846" spans="1:1" x14ac:dyDescent="0.2">
      <c r="A1846" s="1" t="s">
        <v>1846</v>
      </c>
    </row>
    <row r="1847" spans="1:1" x14ac:dyDescent="0.2">
      <c r="A1847" s="1" t="s">
        <v>1847</v>
      </c>
    </row>
    <row r="1848" spans="1:1" x14ac:dyDescent="0.2">
      <c r="A1848" s="1" t="s">
        <v>1848</v>
      </c>
    </row>
    <row r="1849" spans="1:1" x14ac:dyDescent="0.2">
      <c r="A1849" s="1" t="s">
        <v>1849</v>
      </c>
    </row>
    <row r="1850" spans="1:1" x14ac:dyDescent="0.2">
      <c r="A1850" s="1" t="s">
        <v>1850</v>
      </c>
    </row>
    <row r="1851" spans="1:1" x14ac:dyDescent="0.2">
      <c r="A1851" s="1" t="s">
        <v>1851</v>
      </c>
    </row>
    <row r="1852" spans="1:1" x14ac:dyDescent="0.2">
      <c r="A1852" s="1" t="s">
        <v>1852</v>
      </c>
    </row>
    <row r="1853" spans="1:1" x14ac:dyDescent="0.2">
      <c r="A1853" s="1" t="s">
        <v>1853</v>
      </c>
    </row>
    <row r="1854" spans="1:1" x14ac:dyDescent="0.2">
      <c r="A1854" s="1" t="s">
        <v>1854</v>
      </c>
    </row>
    <row r="1855" spans="1:1" x14ac:dyDescent="0.2">
      <c r="A1855" s="1" t="s">
        <v>1855</v>
      </c>
    </row>
    <row r="1856" spans="1:1" x14ac:dyDescent="0.2">
      <c r="A1856" s="1" t="s">
        <v>1856</v>
      </c>
    </row>
    <row r="1857" spans="1:1" x14ac:dyDescent="0.2">
      <c r="A1857" s="1" t="s">
        <v>1857</v>
      </c>
    </row>
    <row r="1858" spans="1:1" x14ac:dyDescent="0.2">
      <c r="A1858" s="1" t="s">
        <v>1858</v>
      </c>
    </row>
    <row r="1859" spans="1:1" x14ac:dyDescent="0.2">
      <c r="A1859" s="1" t="s">
        <v>1859</v>
      </c>
    </row>
    <row r="1860" spans="1:1" x14ac:dyDescent="0.2">
      <c r="A1860" s="1" t="s">
        <v>1860</v>
      </c>
    </row>
    <row r="1861" spans="1:1" x14ac:dyDescent="0.2">
      <c r="A1861" s="1" t="s">
        <v>1861</v>
      </c>
    </row>
    <row r="1862" spans="1:1" x14ac:dyDescent="0.2">
      <c r="A1862" s="1" t="s">
        <v>1862</v>
      </c>
    </row>
    <row r="1863" spans="1:1" x14ac:dyDescent="0.2">
      <c r="A1863" s="1" t="s">
        <v>1863</v>
      </c>
    </row>
    <row r="1864" spans="1:1" x14ac:dyDescent="0.2">
      <c r="A1864" s="1" t="s">
        <v>1864</v>
      </c>
    </row>
    <row r="1865" spans="1:1" x14ac:dyDescent="0.2">
      <c r="A1865" s="1" t="s">
        <v>1865</v>
      </c>
    </row>
    <row r="1866" spans="1:1" x14ac:dyDescent="0.2">
      <c r="A1866" s="1" t="s">
        <v>1866</v>
      </c>
    </row>
    <row r="1867" spans="1:1" x14ac:dyDescent="0.2">
      <c r="A1867" s="1" t="s">
        <v>1867</v>
      </c>
    </row>
    <row r="1868" spans="1:1" x14ac:dyDescent="0.2">
      <c r="A1868" s="1" t="s">
        <v>1868</v>
      </c>
    </row>
    <row r="1869" spans="1:1" x14ac:dyDescent="0.2">
      <c r="A1869" s="1" t="s">
        <v>1869</v>
      </c>
    </row>
    <row r="1870" spans="1:1" x14ac:dyDescent="0.2">
      <c r="A1870" s="1" t="s">
        <v>1870</v>
      </c>
    </row>
    <row r="1871" spans="1:1" x14ac:dyDescent="0.2">
      <c r="A1871" s="1" t="s">
        <v>1871</v>
      </c>
    </row>
    <row r="1872" spans="1:1" x14ac:dyDescent="0.2">
      <c r="A1872" s="1" t="s">
        <v>1872</v>
      </c>
    </row>
    <row r="1873" spans="1:1" x14ac:dyDescent="0.2">
      <c r="A1873" s="1" t="s">
        <v>1873</v>
      </c>
    </row>
    <row r="1874" spans="1:1" x14ac:dyDescent="0.2">
      <c r="A1874" s="1" t="s">
        <v>1874</v>
      </c>
    </row>
    <row r="1875" spans="1:1" x14ac:dyDescent="0.2">
      <c r="A1875" s="1" t="s">
        <v>1875</v>
      </c>
    </row>
    <row r="1876" spans="1:1" x14ac:dyDescent="0.2">
      <c r="A1876" s="1" t="s">
        <v>1876</v>
      </c>
    </row>
    <row r="1877" spans="1:1" x14ac:dyDescent="0.2">
      <c r="A1877" s="1" t="s">
        <v>1877</v>
      </c>
    </row>
    <row r="1878" spans="1:1" x14ac:dyDescent="0.2">
      <c r="A1878" s="1" t="s">
        <v>1878</v>
      </c>
    </row>
    <row r="1879" spans="1:1" x14ac:dyDescent="0.2">
      <c r="A1879" s="1" t="s">
        <v>1879</v>
      </c>
    </row>
    <row r="1880" spans="1:1" x14ac:dyDescent="0.2">
      <c r="A1880" s="1" t="s">
        <v>1880</v>
      </c>
    </row>
    <row r="1881" spans="1:1" x14ac:dyDescent="0.2">
      <c r="A1881" s="1" t="s">
        <v>1881</v>
      </c>
    </row>
    <row r="1882" spans="1:1" x14ac:dyDescent="0.2">
      <c r="A1882" s="1" t="s">
        <v>1882</v>
      </c>
    </row>
    <row r="1883" spans="1:1" x14ac:dyDescent="0.2">
      <c r="A1883" s="1" t="s">
        <v>1883</v>
      </c>
    </row>
    <row r="1884" spans="1:1" x14ac:dyDescent="0.2">
      <c r="A1884" s="1" t="s">
        <v>1884</v>
      </c>
    </row>
    <row r="1885" spans="1:1" x14ac:dyDescent="0.2">
      <c r="A1885" s="1" t="s">
        <v>1885</v>
      </c>
    </row>
    <row r="1886" spans="1:1" x14ac:dyDescent="0.2">
      <c r="A1886" s="1" t="s">
        <v>1886</v>
      </c>
    </row>
    <row r="1887" spans="1:1" x14ac:dyDescent="0.2">
      <c r="A1887" s="1" t="s">
        <v>1887</v>
      </c>
    </row>
    <row r="1888" spans="1:1" x14ac:dyDescent="0.2">
      <c r="A1888" s="1" t="s">
        <v>1888</v>
      </c>
    </row>
    <row r="1889" spans="1:1" x14ac:dyDescent="0.2">
      <c r="A1889" s="1" t="s">
        <v>1889</v>
      </c>
    </row>
    <row r="1890" spans="1:1" x14ac:dyDescent="0.2">
      <c r="A1890" s="1" t="s">
        <v>1890</v>
      </c>
    </row>
    <row r="1891" spans="1:1" x14ac:dyDescent="0.2">
      <c r="A1891" s="1" t="s">
        <v>1891</v>
      </c>
    </row>
    <row r="1892" spans="1:1" x14ac:dyDescent="0.2">
      <c r="A1892" s="1" t="s">
        <v>1892</v>
      </c>
    </row>
    <row r="1893" spans="1:1" x14ac:dyDescent="0.2">
      <c r="A1893" s="1" t="s">
        <v>1893</v>
      </c>
    </row>
    <row r="1894" spans="1:1" x14ac:dyDescent="0.2">
      <c r="A1894" s="1" t="s">
        <v>1894</v>
      </c>
    </row>
    <row r="1895" spans="1:1" x14ac:dyDescent="0.2">
      <c r="A1895" s="1" t="s">
        <v>1895</v>
      </c>
    </row>
    <row r="1896" spans="1:1" x14ac:dyDescent="0.2">
      <c r="A1896" s="1" t="s">
        <v>1896</v>
      </c>
    </row>
    <row r="1897" spans="1:1" x14ac:dyDescent="0.2">
      <c r="A1897" s="1" t="s">
        <v>1897</v>
      </c>
    </row>
    <row r="1898" spans="1:1" x14ac:dyDescent="0.2">
      <c r="A1898" s="1" t="s">
        <v>1898</v>
      </c>
    </row>
    <row r="1899" spans="1:1" x14ac:dyDescent="0.2">
      <c r="A1899" s="1" t="s">
        <v>1899</v>
      </c>
    </row>
    <row r="1900" spans="1:1" x14ac:dyDescent="0.2">
      <c r="A1900" s="1" t="s">
        <v>1900</v>
      </c>
    </row>
    <row r="1901" spans="1:1" x14ac:dyDescent="0.2">
      <c r="A1901" s="1" t="s">
        <v>1901</v>
      </c>
    </row>
    <row r="1902" spans="1:1" x14ac:dyDescent="0.2">
      <c r="A1902" s="1" t="s">
        <v>1902</v>
      </c>
    </row>
    <row r="1903" spans="1:1" x14ac:dyDescent="0.2">
      <c r="A1903" s="1" t="s">
        <v>1903</v>
      </c>
    </row>
    <row r="1904" spans="1:1" x14ac:dyDescent="0.2">
      <c r="A1904" s="1" t="s">
        <v>1904</v>
      </c>
    </row>
    <row r="1905" spans="1:1" x14ac:dyDescent="0.2">
      <c r="A1905" s="1" t="s">
        <v>1905</v>
      </c>
    </row>
    <row r="1906" spans="1:1" x14ac:dyDescent="0.2">
      <c r="A1906" s="1" t="s">
        <v>1906</v>
      </c>
    </row>
    <row r="1907" spans="1:1" x14ac:dyDescent="0.2">
      <c r="A1907" s="1" t="s">
        <v>1907</v>
      </c>
    </row>
    <row r="1908" spans="1:1" x14ac:dyDescent="0.2">
      <c r="A1908" s="1" t="s">
        <v>1908</v>
      </c>
    </row>
    <row r="1909" spans="1:1" x14ac:dyDescent="0.2">
      <c r="A1909" s="1" t="s">
        <v>1909</v>
      </c>
    </row>
    <row r="1910" spans="1:1" x14ac:dyDescent="0.2">
      <c r="A1910" s="1" t="s">
        <v>1910</v>
      </c>
    </row>
    <row r="1911" spans="1:1" x14ac:dyDescent="0.2">
      <c r="A1911" s="1" t="s">
        <v>1911</v>
      </c>
    </row>
    <row r="1912" spans="1:1" x14ac:dyDescent="0.2">
      <c r="A1912" s="1" t="s">
        <v>1912</v>
      </c>
    </row>
    <row r="1913" spans="1:1" x14ac:dyDescent="0.2">
      <c r="A1913" s="1" t="s">
        <v>1913</v>
      </c>
    </row>
    <row r="1914" spans="1:1" x14ac:dyDescent="0.2">
      <c r="A1914" s="1" t="s">
        <v>1914</v>
      </c>
    </row>
    <row r="1915" spans="1:1" x14ac:dyDescent="0.2">
      <c r="A1915" s="1" t="s">
        <v>1915</v>
      </c>
    </row>
    <row r="1916" spans="1:1" x14ac:dyDescent="0.2">
      <c r="A1916" s="1" t="s">
        <v>1916</v>
      </c>
    </row>
    <row r="1917" spans="1:1" x14ac:dyDescent="0.2">
      <c r="A1917" s="1" t="s">
        <v>1917</v>
      </c>
    </row>
    <row r="1918" spans="1:1" x14ac:dyDescent="0.2">
      <c r="A1918" s="1" t="s">
        <v>1918</v>
      </c>
    </row>
    <row r="1919" spans="1:1" x14ac:dyDescent="0.2">
      <c r="A1919" s="1" t="s">
        <v>1919</v>
      </c>
    </row>
    <row r="1920" spans="1:1" x14ac:dyDescent="0.2">
      <c r="A1920" s="1" t="s">
        <v>1920</v>
      </c>
    </row>
    <row r="1921" spans="1:1" x14ac:dyDescent="0.2">
      <c r="A1921" s="1" t="s">
        <v>1921</v>
      </c>
    </row>
    <row r="1922" spans="1:1" x14ac:dyDescent="0.2">
      <c r="A1922" s="1" t="s">
        <v>1922</v>
      </c>
    </row>
    <row r="1923" spans="1:1" x14ac:dyDescent="0.2">
      <c r="A1923" s="1" t="s">
        <v>1923</v>
      </c>
    </row>
    <row r="1924" spans="1:1" x14ac:dyDescent="0.2">
      <c r="A1924" s="1" t="s">
        <v>1924</v>
      </c>
    </row>
    <row r="1925" spans="1:1" x14ac:dyDescent="0.2">
      <c r="A1925" s="1" t="s">
        <v>1925</v>
      </c>
    </row>
    <row r="1926" spans="1:1" x14ac:dyDescent="0.2">
      <c r="A1926" s="1" t="s">
        <v>1926</v>
      </c>
    </row>
    <row r="1927" spans="1:1" x14ac:dyDescent="0.2">
      <c r="A1927" s="1" t="s">
        <v>1927</v>
      </c>
    </row>
    <row r="1928" spans="1:1" x14ac:dyDescent="0.2">
      <c r="A1928" s="1" t="s">
        <v>1928</v>
      </c>
    </row>
    <row r="1929" spans="1:1" x14ac:dyDescent="0.2">
      <c r="A1929" s="1" t="s">
        <v>1929</v>
      </c>
    </row>
    <row r="1930" spans="1:1" x14ac:dyDescent="0.2">
      <c r="A1930" s="1" t="s">
        <v>1930</v>
      </c>
    </row>
    <row r="1931" spans="1:1" x14ac:dyDescent="0.2">
      <c r="A1931" s="1" t="s">
        <v>1931</v>
      </c>
    </row>
    <row r="1932" spans="1:1" x14ac:dyDescent="0.2">
      <c r="A1932" s="1" t="s">
        <v>1932</v>
      </c>
    </row>
    <row r="1933" spans="1:1" x14ac:dyDescent="0.2">
      <c r="A1933" s="1" t="s">
        <v>1933</v>
      </c>
    </row>
    <row r="1934" spans="1:1" x14ac:dyDescent="0.2">
      <c r="A1934" s="1" t="s">
        <v>1934</v>
      </c>
    </row>
    <row r="1935" spans="1:1" x14ac:dyDescent="0.2">
      <c r="A1935" s="1" t="s">
        <v>1935</v>
      </c>
    </row>
    <row r="1936" spans="1:1" x14ac:dyDescent="0.2">
      <c r="A1936" s="1" t="s">
        <v>1936</v>
      </c>
    </row>
    <row r="1937" spans="1:1" x14ac:dyDescent="0.2">
      <c r="A1937" s="1" t="s">
        <v>1937</v>
      </c>
    </row>
    <row r="1938" spans="1:1" x14ac:dyDescent="0.2">
      <c r="A1938" s="1" t="s">
        <v>1938</v>
      </c>
    </row>
    <row r="1939" spans="1:1" x14ac:dyDescent="0.2">
      <c r="A1939" s="1" t="s">
        <v>1939</v>
      </c>
    </row>
    <row r="1940" spans="1:1" x14ac:dyDescent="0.2">
      <c r="A1940" s="1" t="s">
        <v>1940</v>
      </c>
    </row>
    <row r="1941" spans="1:1" x14ac:dyDescent="0.2">
      <c r="A1941" s="1" t="s">
        <v>1941</v>
      </c>
    </row>
    <row r="1942" spans="1:1" x14ac:dyDescent="0.2">
      <c r="A1942" s="1" t="s">
        <v>1942</v>
      </c>
    </row>
    <row r="1943" spans="1:1" x14ac:dyDescent="0.2">
      <c r="A1943" s="1" t="s">
        <v>1943</v>
      </c>
    </row>
  </sheetData>
  <autoFilter ref="A1:B1943" xr:uid="{00000000-0009-0000-0000-000000000000}"/>
  <conditionalFormatting sqref="A1">
    <cfRule type="cellIs" dxfId="24" priority="15" operator="notEqual">
      <formula>-13.345</formula>
    </cfRule>
  </conditionalFormatting>
  <conditionalFormatting sqref="A2:A1943">
    <cfRule type="cellIs" dxfId="23" priority="1" operator="notEqual">
      <formula>"None"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5.6640625" customWidth="1"/>
    <col min="2" max="2" width="45.6640625" customWidth="1"/>
    <col min="3" max="9" width="25.6640625" customWidth="1"/>
  </cols>
  <sheetData>
    <row r="1" spans="1:9" x14ac:dyDescent="0.2">
      <c r="A1" s="1" t="s">
        <v>1</v>
      </c>
      <c r="B1" s="1" t="s">
        <v>0</v>
      </c>
      <c r="C1" s="1" t="s">
        <v>1944</v>
      </c>
      <c r="D1" s="1" t="s">
        <v>1945</v>
      </c>
      <c r="E1" s="1" t="s">
        <v>1946</v>
      </c>
      <c r="F1" s="1" t="s">
        <v>1947</v>
      </c>
      <c r="G1" s="1" t="s">
        <v>1948</v>
      </c>
      <c r="H1" s="1" t="s">
        <v>1949</v>
      </c>
      <c r="I1" s="1" t="s">
        <v>1950</v>
      </c>
    </row>
    <row r="2" spans="1:9" x14ac:dyDescent="0.2">
      <c r="A2" s="1" t="s">
        <v>2</v>
      </c>
      <c r="B2" t="str">
        <f>HYPERLINK("https://www.suredividend.com/sure-analysis-research-database/","Aadi Bioscience Inc")</f>
        <v>Aadi Bioscience Inc</v>
      </c>
      <c r="C2">
        <v>0.17177914110429399</v>
      </c>
      <c r="D2">
        <v>-0.59789473684210503</v>
      </c>
      <c r="E2">
        <v>-0.67238421955403005</v>
      </c>
      <c r="F2">
        <v>-5.4455445544553997E-2</v>
      </c>
      <c r="G2">
        <v>-0.83758503401360507</v>
      </c>
      <c r="H2">
        <v>-0.89147727272727206</v>
      </c>
      <c r="I2">
        <v>-0.38782051282051211</v>
      </c>
    </row>
    <row r="3" spans="1:9" x14ac:dyDescent="0.2">
      <c r="A3" s="1" t="s">
        <v>3</v>
      </c>
      <c r="B3" t="str">
        <f>HYPERLINK("https://www.suredividend.com/sure-analysis-research-database/","Aarons Company Inc (The)")</f>
        <v>Aarons Company Inc (The)</v>
      </c>
      <c r="C3">
        <v>2.734375E-2</v>
      </c>
      <c r="D3">
        <v>0.177814102420564</v>
      </c>
      <c r="E3">
        <v>-0.13479015371456199</v>
      </c>
      <c r="F3">
        <v>-3.3088235294117002E-2</v>
      </c>
      <c r="G3">
        <v>-0.25376839865224299</v>
      </c>
      <c r="H3">
        <v>-0.46026371145656902</v>
      </c>
      <c r="I3">
        <v>-0.60301886792452808</v>
      </c>
    </row>
    <row r="4" spans="1:9" x14ac:dyDescent="0.2">
      <c r="A4" s="1" t="s">
        <v>4</v>
      </c>
      <c r="B4" t="str">
        <f>HYPERLINK("https://www.suredividend.com/sure-analysis-research-database/","AAON Inc.")</f>
        <v>AAON Inc.</v>
      </c>
      <c r="C4">
        <v>0.16254266211604099</v>
      </c>
      <c r="D4">
        <v>0.29473159065892701</v>
      </c>
      <c r="E4">
        <v>0.32881239119586603</v>
      </c>
      <c r="F4">
        <v>0.106673886557465</v>
      </c>
      <c r="G4">
        <v>0.54438768570435403</v>
      </c>
      <c r="H4">
        <v>1.1361044770659461</v>
      </c>
      <c r="I4">
        <v>2.0992205507703501</v>
      </c>
    </row>
    <row r="5" spans="1:9" x14ac:dyDescent="0.2">
      <c r="A5" s="1" t="s">
        <v>5</v>
      </c>
      <c r="B5" t="str">
        <f>HYPERLINK("https://www.suredividend.com/sure-analysis-AAT/","American Assets Trust Inc")</f>
        <v>American Assets Trust Inc</v>
      </c>
      <c r="C5">
        <v>-5.9565217391304007E-2</v>
      </c>
      <c r="D5">
        <v>0.15141384890554399</v>
      </c>
      <c r="E5">
        <v>6.8100677006947011E-2</v>
      </c>
      <c r="F5">
        <v>-3.9093736117281001E-2</v>
      </c>
      <c r="G5">
        <v>-0.12454314751630099</v>
      </c>
      <c r="H5">
        <v>-0.34556478696817611</v>
      </c>
      <c r="I5">
        <v>-0.39892289650802798</v>
      </c>
    </row>
    <row r="6" spans="1:9" x14ac:dyDescent="0.2">
      <c r="A6" s="1" t="s">
        <v>6</v>
      </c>
      <c r="B6" t="str">
        <f>HYPERLINK("https://www.suredividend.com/sure-analysis-research-database/","Ameris Bancorp")</f>
        <v>Ameris Bancorp</v>
      </c>
      <c r="C6">
        <v>-9.7788125727590006E-2</v>
      </c>
      <c r="D6">
        <v>8.3678634518310008E-2</v>
      </c>
      <c r="E6">
        <v>0.14611626794965901</v>
      </c>
      <c r="F6">
        <v>-0.12346842601319501</v>
      </c>
      <c r="G6">
        <v>-2.3882345285350999E-2</v>
      </c>
      <c r="H6">
        <v>-3.3822447732911001E-2</v>
      </c>
      <c r="I6">
        <v>0.24159586455123599</v>
      </c>
    </row>
    <row r="7" spans="1:9" x14ac:dyDescent="0.2">
      <c r="A7" s="1" t="s">
        <v>7</v>
      </c>
      <c r="B7" t="str">
        <f>HYPERLINK("https://www.suredividend.com/sure-analysis-research-database/","Asbury Automotive Group Inc")</f>
        <v>Asbury Automotive Group Inc</v>
      </c>
      <c r="C7">
        <v>1.8194267827447E-2</v>
      </c>
      <c r="D7">
        <v>-1.8898157311843002E-2</v>
      </c>
      <c r="E7">
        <v>-5.9583502732980007E-2</v>
      </c>
      <c r="F7">
        <v>-7.4632173178646011E-2</v>
      </c>
      <c r="G7">
        <v>-0.13804239814508101</v>
      </c>
      <c r="H7">
        <v>0.117265067353619</v>
      </c>
      <c r="I7">
        <v>1.853735435229608</v>
      </c>
    </row>
    <row r="8" spans="1:9" x14ac:dyDescent="0.2">
      <c r="A8" s="1" t="s">
        <v>8</v>
      </c>
      <c r="B8" t="str">
        <f>HYPERLINK("https://www.suredividend.com/sure-analysis-ABM/","ABM Industries Inc.")</f>
        <v>ABM Industries Inc.</v>
      </c>
      <c r="C8">
        <v>-3.1384762817441E-2</v>
      </c>
      <c r="D8">
        <v>-2.1546310167156999E-2</v>
      </c>
      <c r="E8">
        <v>-9.8530624986064005E-2</v>
      </c>
      <c r="F8">
        <v>-9.357092252643201E-2</v>
      </c>
      <c r="G8">
        <v>-0.15400180373595099</v>
      </c>
      <c r="H8">
        <v>-3.1971517024898012E-2</v>
      </c>
      <c r="I8">
        <v>0.21440586327045499</v>
      </c>
    </row>
    <row r="9" spans="1:9" x14ac:dyDescent="0.2">
      <c r="A9" s="1" t="s">
        <v>9</v>
      </c>
      <c r="B9" t="str">
        <f>HYPERLINK("https://www.suredividend.com/sure-analysis-ABR/","Arbor Realty Trust Inc.")</f>
        <v>Arbor Realty Trust Inc.</v>
      </c>
      <c r="C9">
        <v>-8.4016393442623002E-2</v>
      </c>
      <c r="D9">
        <v>8.1451612903225001E-2</v>
      </c>
      <c r="E9">
        <v>-8.0398288347597005E-2</v>
      </c>
      <c r="F9">
        <v>-0.116600790513834</v>
      </c>
      <c r="G9">
        <v>-5.9621404084000008E-4</v>
      </c>
      <c r="H9">
        <v>-1.3259554679107E-2</v>
      </c>
      <c r="I9">
        <v>0.75947307651936602</v>
      </c>
    </row>
    <row r="10" spans="1:9" x14ac:dyDescent="0.2">
      <c r="A10" s="1" t="s">
        <v>10</v>
      </c>
      <c r="B10" t="str">
        <f>HYPERLINK("https://www.suredividend.com/sure-analysis-research-database/","Arbutus Biopharma Corp")</f>
        <v>Arbutus Biopharma Corp</v>
      </c>
      <c r="C10">
        <v>0.22033898305084701</v>
      </c>
      <c r="D10">
        <v>0.56521739130434701</v>
      </c>
      <c r="E10">
        <v>0.39805825242718401</v>
      </c>
      <c r="F10">
        <v>0.151999999999999</v>
      </c>
      <c r="G10">
        <v>5.1094890510948003E-2</v>
      </c>
      <c r="H10">
        <v>-4.9504950495049001E-2</v>
      </c>
      <c r="I10">
        <v>-0.20879120879120799</v>
      </c>
    </row>
    <row r="11" spans="1:9" x14ac:dyDescent="0.2">
      <c r="A11" s="1" t="s">
        <v>11</v>
      </c>
      <c r="B11" t="str">
        <f>HYPERLINK("https://www.suredividend.com/sure-analysis-research-database/","Arcosa Inc")</f>
        <v>Arcosa Inc</v>
      </c>
      <c r="C11">
        <v>1.7989684237011E-2</v>
      </c>
      <c r="D11">
        <v>0.10165084257502</v>
      </c>
      <c r="E11">
        <v>7.720979765708201E-2</v>
      </c>
      <c r="F11">
        <v>-2.0191893213992999E-2</v>
      </c>
      <c r="G11">
        <v>0.387609939622162</v>
      </c>
      <c r="H11">
        <v>0.72129560890938504</v>
      </c>
      <c r="I11">
        <v>1.563395897679575</v>
      </c>
    </row>
    <row r="12" spans="1:9" x14ac:dyDescent="0.2">
      <c r="A12" s="1" t="s">
        <v>12</v>
      </c>
      <c r="B12" t="str">
        <f>HYPERLINK("https://www.suredividend.com/sure-analysis-research-database/","Acadia Pharmaceuticals Inc")</f>
        <v>Acadia Pharmaceuticals Inc</v>
      </c>
      <c r="C12">
        <v>-8.9410040307804001E-2</v>
      </c>
      <c r="D12">
        <v>8.4205933682373002E-2</v>
      </c>
      <c r="E12">
        <v>-0.152744630071599</v>
      </c>
      <c r="F12">
        <v>-0.20632385819227</v>
      </c>
      <c r="G12">
        <v>0.28291171915332902</v>
      </c>
      <c r="H12">
        <v>-3.9056457849961E-2</v>
      </c>
      <c r="I12">
        <v>8.895705521472401E-2</v>
      </c>
    </row>
    <row r="13" spans="1:9" x14ac:dyDescent="0.2">
      <c r="A13" s="1" t="s">
        <v>13</v>
      </c>
      <c r="B13" t="str">
        <f>HYPERLINK("https://www.suredividend.com/sure-analysis-research-database/","Accolade Inc")</f>
        <v>Accolade Inc</v>
      </c>
      <c r="C13">
        <v>-4.6848381601360001E-3</v>
      </c>
      <c r="D13">
        <v>0.45335820895522411</v>
      </c>
      <c r="E13">
        <v>-9.9074787972243006E-2</v>
      </c>
      <c r="F13">
        <v>-2.7060782681098999E-2</v>
      </c>
      <c r="G13">
        <v>-1.1421319796954E-2</v>
      </c>
      <c r="H13">
        <v>-0.35011123470522798</v>
      </c>
      <c r="I13">
        <v>-0.60656565656565609</v>
      </c>
    </row>
    <row r="14" spans="1:9" x14ac:dyDescent="0.2">
      <c r="A14" s="1" t="s">
        <v>14</v>
      </c>
      <c r="B14" t="str">
        <f>HYPERLINK("https://www.suredividend.com/sure-analysis-research-database/","Acco Brands Corporation")</f>
        <v>Acco Brands Corporation</v>
      </c>
      <c r="C14">
        <v>7.5630252100840012E-2</v>
      </c>
      <c r="D14">
        <v>0.194029850746268</v>
      </c>
      <c r="E14">
        <v>0.23987756209074301</v>
      </c>
      <c r="F14">
        <v>5.2631578947368002E-2</v>
      </c>
      <c r="G14">
        <v>0.159777467698385</v>
      </c>
      <c r="H14">
        <v>-0.20894876707249199</v>
      </c>
      <c r="I14">
        <v>-0.15949832556307</v>
      </c>
    </row>
    <row r="15" spans="1:9" x14ac:dyDescent="0.2">
      <c r="A15" s="1" t="s">
        <v>15</v>
      </c>
      <c r="B15" t="str">
        <f>HYPERLINK("https://www.suredividend.com/sure-analysis-research-database/","ProFrac Holding Corp")</f>
        <v>ProFrac Holding Corp</v>
      </c>
      <c r="C15">
        <v>4.4198895027624002E-2</v>
      </c>
      <c r="D15">
        <v>-9.0252707581227012E-2</v>
      </c>
      <c r="E15">
        <v>-0.30705774518790102</v>
      </c>
      <c r="F15">
        <v>-0.10849056603773601</v>
      </c>
      <c r="G15">
        <v>-0.64373232799245905</v>
      </c>
      <c r="H15">
        <v>-0.58255107675317508</v>
      </c>
      <c r="I15">
        <v>-0.58255107675317508</v>
      </c>
    </row>
    <row r="16" spans="1:9" x14ac:dyDescent="0.2">
      <c r="A16" s="1" t="s">
        <v>16</v>
      </c>
      <c r="B16" t="str">
        <f>HYPERLINK("https://www.suredividend.com/sure-analysis-research-database/","Accel Entertainment Inc")</f>
        <v>Accel Entertainment Inc</v>
      </c>
      <c r="C16">
        <v>6.930693069306001E-3</v>
      </c>
      <c r="D16">
        <v>-2.3054755043227002E-2</v>
      </c>
      <c r="E16">
        <v>-5.3953488372093003E-2</v>
      </c>
      <c r="F16">
        <v>-9.7370983446930012E-3</v>
      </c>
      <c r="G16">
        <v>7.6190476190476003E-2</v>
      </c>
      <c r="H16">
        <v>-0.23360964581763299</v>
      </c>
      <c r="I16">
        <v>-7.1232876712328003E-2</v>
      </c>
    </row>
    <row r="17" spans="1:9" x14ac:dyDescent="0.2">
      <c r="A17" s="1" t="s">
        <v>17</v>
      </c>
      <c r="B17" t="str">
        <f>HYPERLINK("https://www.suredividend.com/sure-analysis-research-database/","Adicet Bio Inc")</f>
        <v>Adicet Bio Inc</v>
      </c>
      <c r="C17">
        <v>0.168032786885246</v>
      </c>
      <c r="D17">
        <v>1.4358974358974359</v>
      </c>
      <c r="E17">
        <v>0.52406417112299408</v>
      </c>
      <c r="F17">
        <v>0.50793650793650802</v>
      </c>
      <c r="G17">
        <v>-0.66232227488151607</v>
      </c>
      <c r="H17">
        <v>-0.79074889867841403</v>
      </c>
      <c r="I17">
        <v>-0.64508094645080905</v>
      </c>
    </row>
    <row r="18" spans="1:9" x14ac:dyDescent="0.2">
      <c r="A18" s="1" t="s">
        <v>18</v>
      </c>
      <c r="B18" t="str">
        <f>HYPERLINK("https://www.suredividend.com/sure-analysis-research-database/","Archer Aviation Inc")</f>
        <v>Archer Aviation Inc</v>
      </c>
      <c r="C18">
        <v>1.3833992094861001E-2</v>
      </c>
      <c r="D18">
        <v>-0.177884615384615</v>
      </c>
      <c r="E18">
        <v>-0.167207792207792</v>
      </c>
      <c r="F18">
        <v>-0.16449511400651401</v>
      </c>
      <c r="G18">
        <v>0.82562277580071108</v>
      </c>
      <c r="H18">
        <v>0.74489795918367308</v>
      </c>
      <c r="I18">
        <v>-0.48545636910732198</v>
      </c>
    </row>
    <row r="19" spans="1:9" x14ac:dyDescent="0.2">
      <c r="A19" s="1" t="s">
        <v>19</v>
      </c>
      <c r="B19" t="str">
        <f>HYPERLINK("https://www.suredividend.com/sure-analysis-research-database/","American Coastal Insurance Corp")</f>
        <v>American Coastal Insurance Corp</v>
      </c>
      <c r="C19">
        <v>0.164347826086956</v>
      </c>
      <c r="D19">
        <v>0.65512978986402903</v>
      </c>
      <c r="E19">
        <v>0.69065656565656508</v>
      </c>
      <c r="F19">
        <v>0.41543340380549598</v>
      </c>
      <c r="G19">
        <v>7.0179640718562872</v>
      </c>
      <c r="H19">
        <v>2.8296533577393892</v>
      </c>
      <c r="I19">
        <v>-8.8116917167782013E-2</v>
      </c>
    </row>
    <row r="20" spans="1:9" x14ac:dyDescent="0.2">
      <c r="A20" s="1" t="s">
        <v>20</v>
      </c>
      <c r="B20" t="str">
        <f>HYPERLINK("https://www.suredividend.com/sure-analysis-research-database/","ACI Worldwide Inc")</f>
        <v>ACI Worldwide Inc</v>
      </c>
      <c r="C20">
        <v>1.8327224258580001E-2</v>
      </c>
      <c r="D20">
        <v>0.15233785822021101</v>
      </c>
      <c r="E20">
        <v>0.342706502636203</v>
      </c>
      <c r="F20">
        <v>-1.307189542483E-3</v>
      </c>
      <c r="G20">
        <v>0.17583686033089599</v>
      </c>
      <c r="H20">
        <v>-7.5620084694495007E-2</v>
      </c>
      <c r="I20">
        <v>-1.7363344051446999E-2</v>
      </c>
    </row>
    <row r="21" spans="1:9" x14ac:dyDescent="0.2">
      <c r="A21" s="1" t="s">
        <v>21</v>
      </c>
      <c r="B21" t="str">
        <f>HYPERLINK("https://www.suredividend.com/sure-analysis-research-database/","Axcelis Technologies Inc")</f>
        <v>Axcelis Technologies Inc</v>
      </c>
      <c r="C21">
        <v>-0.14987845639623201</v>
      </c>
      <c r="D21">
        <v>-0.15007215007215</v>
      </c>
      <c r="E21">
        <v>-0.31948920644572798</v>
      </c>
      <c r="F21">
        <v>-0.13709615236332701</v>
      </c>
      <c r="G21">
        <v>-8.217829902403001E-2</v>
      </c>
      <c r="H21">
        <v>0.65669874167283404</v>
      </c>
      <c r="I21">
        <v>3.967154904571681</v>
      </c>
    </row>
    <row r="22" spans="1:9" x14ac:dyDescent="0.2">
      <c r="A22" s="1" t="s">
        <v>22</v>
      </c>
      <c r="B22" t="str">
        <f>HYPERLINK("https://www.suredividend.com/sure-analysis-research-database/","Arcellx Inc")</f>
        <v>Arcellx Inc</v>
      </c>
      <c r="C22">
        <v>8.4132440745431011E-2</v>
      </c>
      <c r="D22">
        <v>0.13873052071455699</v>
      </c>
      <c r="E22">
        <v>0.72282921219091401</v>
      </c>
      <c r="F22">
        <v>7.9639639639639007E-2</v>
      </c>
      <c r="G22">
        <v>1.0591065292096209</v>
      </c>
      <c r="H22">
        <v>2.3625140291806961</v>
      </c>
      <c r="I22">
        <v>2.566666666666666</v>
      </c>
    </row>
    <row r="23" spans="1:9" x14ac:dyDescent="0.2">
      <c r="A23" s="1" t="s">
        <v>23</v>
      </c>
      <c r="B23" t="str">
        <f>HYPERLINK("https://www.suredividend.com/sure-analysis-research-database/","ACM Research Inc")</f>
        <v>ACM Research Inc</v>
      </c>
      <c r="C23">
        <v>-0.103616813294232</v>
      </c>
      <c r="D23">
        <v>-1.7148981779205999E-2</v>
      </c>
      <c r="E23">
        <v>0.40968485780169001</v>
      </c>
      <c r="F23">
        <v>-6.1412487205731003E-2</v>
      </c>
      <c r="G23">
        <v>0.45786963434022199</v>
      </c>
      <c r="H23">
        <v>-0.30248390274328402</v>
      </c>
      <c r="I23">
        <v>3.7843894294733</v>
      </c>
    </row>
    <row r="24" spans="1:9" x14ac:dyDescent="0.2">
      <c r="A24" s="1" t="s">
        <v>24</v>
      </c>
      <c r="B24" t="str">
        <f>HYPERLINK("https://www.suredividend.com/sure-analysis-research-database/","ACNB Corp.")</f>
        <v>ACNB Corp.</v>
      </c>
      <c r="C24">
        <v>-0.17704844831435501</v>
      </c>
      <c r="D24">
        <v>-3.6407887547806002E-2</v>
      </c>
      <c r="E24">
        <v>0.15124541266494801</v>
      </c>
      <c r="F24">
        <v>-0.17649687220732699</v>
      </c>
      <c r="G24">
        <v>1.5161313110999999E-3</v>
      </c>
      <c r="H24">
        <v>0.246951126687663</v>
      </c>
      <c r="I24">
        <v>0.123242838031795</v>
      </c>
    </row>
    <row r="25" spans="1:9" x14ac:dyDescent="0.2">
      <c r="A25" s="1" t="s">
        <v>25</v>
      </c>
      <c r="B25" t="str">
        <f>HYPERLINK("https://www.suredividend.com/sure-analysis-ACRE/","Ares Commercial Real Estate Corp")</f>
        <v>Ares Commercial Real Estate Corp</v>
      </c>
      <c r="C25">
        <v>-0.18811881188118801</v>
      </c>
      <c r="D25">
        <v>-0.164229001253656</v>
      </c>
      <c r="E25">
        <v>-9.5431931252826008E-2</v>
      </c>
      <c r="F25">
        <v>-0.20849420849420799</v>
      </c>
      <c r="G25">
        <v>-0.19695233618317301</v>
      </c>
      <c r="H25">
        <v>-0.33534890129931111</v>
      </c>
      <c r="I25">
        <v>-9.1543600367814004E-2</v>
      </c>
    </row>
    <row r="26" spans="1:9" x14ac:dyDescent="0.2">
      <c r="A26" s="1" t="s">
        <v>26</v>
      </c>
      <c r="B26" t="str">
        <f>HYPERLINK("https://www.suredividend.com/sure-analysis-research-database/","Aclaris Therapeutics Inc")</f>
        <v>Aclaris Therapeutics Inc</v>
      </c>
      <c r="C26">
        <v>6.1403508771929002E-2</v>
      </c>
      <c r="D26">
        <v>0.28696022122952503</v>
      </c>
      <c r="E26">
        <v>-0.83076923076923004</v>
      </c>
      <c r="F26">
        <v>0.15238095238095201</v>
      </c>
      <c r="G26">
        <v>-0.90784463061690812</v>
      </c>
      <c r="H26">
        <v>-0.90874811463046712</v>
      </c>
      <c r="I26">
        <v>-0.81498470948012203</v>
      </c>
    </row>
    <row r="27" spans="1:9" x14ac:dyDescent="0.2">
      <c r="A27" s="1" t="s">
        <v>27</v>
      </c>
      <c r="B27" t="str">
        <f>HYPERLINK("https://www.suredividend.com/sure-analysis-research-database/","Acrivon Therapeutics Inc")</f>
        <v>Acrivon Therapeutics Inc</v>
      </c>
      <c r="C27">
        <v>-0.13563218390804599</v>
      </c>
      <c r="D27">
        <v>-5.7644110275688998E-2</v>
      </c>
      <c r="E27">
        <v>-0.66217430368373709</v>
      </c>
      <c r="F27">
        <v>-0.23577235772357699</v>
      </c>
      <c r="G27">
        <v>-0.82584529874942103</v>
      </c>
      <c r="H27">
        <v>-0.77403846153846101</v>
      </c>
      <c r="I27">
        <v>-0.77403846153846101</v>
      </c>
    </row>
    <row r="28" spans="1:9" x14ac:dyDescent="0.2">
      <c r="A28" s="1" t="s">
        <v>28</v>
      </c>
      <c r="B28" t="str">
        <f>HYPERLINK("https://www.suredividend.com/sure-analysis-research-database/","Enact Holdings Inc")</f>
        <v>Enact Holdings Inc</v>
      </c>
      <c r="C28">
        <v>-4.0270848182466012E-2</v>
      </c>
      <c r="D28">
        <v>-3.0597552195823999E-2</v>
      </c>
      <c r="E28">
        <v>-2.5779051174636001E-2</v>
      </c>
      <c r="F28">
        <v>-6.7843544479058007E-2</v>
      </c>
      <c r="G28">
        <v>0.15584359843770099</v>
      </c>
      <c r="H28">
        <v>0.33980766073462998</v>
      </c>
      <c r="I28">
        <v>0.49121495534107401</v>
      </c>
    </row>
    <row r="29" spans="1:9" x14ac:dyDescent="0.2">
      <c r="A29" s="1" t="s">
        <v>29</v>
      </c>
      <c r="B29" t="str">
        <f>HYPERLINK("https://www.suredividend.com/sure-analysis-research-database/","Acacia Research Corp")</f>
        <v>Acacia Research Corp</v>
      </c>
      <c r="C29">
        <v>7.6517150395778E-2</v>
      </c>
      <c r="D29">
        <v>8.8000000000000009E-2</v>
      </c>
      <c r="E29">
        <v>0.102702702702702</v>
      </c>
      <c r="F29">
        <v>4.0816326530612013E-2</v>
      </c>
      <c r="G29">
        <v>-6.4220183486238008E-2</v>
      </c>
      <c r="H29">
        <v>3.5532994923857003E-2</v>
      </c>
      <c r="I29">
        <v>0.27899686520376099</v>
      </c>
    </row>
    <row r="30" spans="1:9" x14ac:dyDescent="0.2">
      <c r="A30" s="1" t="s">
        <v>30</v>
      </c>
      <c r="B30" t="str">
        <f>HYPERLINK("https://www.suredividend.com/sure-analysis-research-database/","ACV Auctions Inc")</f>
        <v>ACV Auctions Inc</v>
      </c>
      <c r="C30">
        <v>2.7818448023426E-2</v>
      </c>
      <c r="D30">
        <v>-0.100576553491351</v>
      </c>
      <c r="E30">
        <v>-9.7686375321336005E-2</v>
      </c>
      <c r="F30">
        <v>-7.3267326732672999E-2</v>
      </c>
      <c r="G30">
        <v>0.25919282511210701</v>
      </c>
      <c r="H30">
        <v>0.110759493670886</v>
      </c>
      <c r="I30">
        <v>-0.55071999999999999</v>
      </c>
    </row>
    <row r="31" spans="1:9" x14ac:dyDescent="0.2">
      <c r="A31" s="1" t="s">
        <v>31</v>
      </c>
      <c r="B31" t="str">
        <f>HYPERLINK("https://www.suredividend.com/sure-analysis-research-database/","Adeia Inc")</f>
        <v>Adeia Inc</v>
      </c>
      <c r="C31">
        <v>3.9439088518843E-2</v>
      </c>
      <c r="D31">
        <v>0.20287635526435799</v>
      </c>
      <c r="E31">
        <v>0.21646016246820299</v>
      </c>
      <c r="F31">
        <v>-4.2776432606941001E-2</v>
      </c>
      <c r="G31">
        <v>0.155123547573363</v>
      </c>
      <c r="H31">
        <v>-0.27061167759314098</v>
      </c>
      <c r="I31">
        <v>-0.44090096970211201</v>
      </c>
    </row>
    <row r="32" spans="1:9" x14ac:dyDescent="0.2">
      <c r="A32" s="1" t="s">
        <v>32</v>
      </c>
      <c r="B32" t="str">
        <f>HYPERLINK("https://www.suredividend.com/sure-analysis-research-database/","Adma Biologics Inc")</f>
        <v>Adma Biologics Inc</v>
      </c>
      <c r="C32">
        <v>2.7944111776447001E-2</v>
      </c>
      <c r="D32">
        <v>0.277915632754342</v>
      </c>
      <c r="E32">
        <v>0.25609756097560998</v>
      </c>
      <c r="F32">
        <v>0.13938053097345099</v>
      </c>
      <c r="G32">
        <v>0.41873278236914602</v>
      </c>
      <c r="H32">
        <v>2.21875</v>
      </c>
      <c r="I32">
        <v>0.28749999999999998</v>
      </c>
    </row>
    <row r="33" spans="1:9" x14ac:dyDescent="0.2">
      <c r="A33" s="1" t="s">
        <v>33</v>
      </c>
      <c r="B33" t="str">
        <f>HYPERLINK("https://www.suredividend.com/sure-analysis-research-database/","Adient plc")</f>
        <v>Adient plc</v>
      </c>
      <c r="C33">
        <v>3.7126471476003002E-2</v>
      </c>
      <c r="D33">
        <v>4.4376899696048001E-2</v>
      </c>
      <c r="E33">
        <v>-0.101464435146443</v>
      </c>
      <c r="F33">
        <v>-5.5005500550055007E-2</v>
      </c>
      <c r="G33">
        <v>-0.22959641255605301</v>
      </c>
      <c r="H33">
        <v>-0.28624844204403799</v>
      </c>
      <c r="I33">
        <v>0.61542078044193604</v>
      </c>
    </row>
    <row r="34" spans="1:9" x14ac:dyDescent="0.2">
      <c r="A34" s="1" t="s">
        <v>34</v>
      </c>
      <c r="B34" t="str">
        <f>HYPERLINK("https://www.suredividend.com/sure-analysis-research-database/","Adaptive Biotechnologies Corp")</f>
        <v>Adaptive Biotechnologies Corp</v>
      </c>
      <c r="C34">
        <v>-6.5533980582524007E-2</v>
      </c>
      <c r="D34">
        <v>-0.132882882882882</v>
      </c>
      <c r="E34">
        <v>-0.38102893890675199</v>
      </c>
      <c r="F34">
        <v>-0.214285714285714</v>
      </c>
      <c r="G34">
        <v>-0.59473684210526301</v>
      </c>
      <c r="H34">
        <v>-0.71481481481481401</v>
      </c>
      <c r="I34">
        <v>-0.90446650124069405</v>
      </c>
    </row>
    <row r="35" spans="1:9" x14ac:dyDescent="0.2">
      <c r="A35" s="1" t="s">
        <v>35</v>
      </c>
      <c r="B35" t="str">
        <f>HYPERLINK("https://www.suredividend.com/sure-analysis-research-database/","ADTRAN Holdings Inc")</f>
        <v>ADTRAN Holdings Inc</v>
      </c>
      <c r="C35">
        <v>-9.5305832147937003E-2</v>
      </c>
      <c r="D35">
        <v>0.13167259786476801</v>
      </c>
      <c r="E35">
        <v>-0.21867321867321801</v>
      </c>
      <c r="F35">
        <v>-0.13351498637602099</v>
      </c>
      <c r="G35">
        <v>-0.61151764662765506</v>
      </c>
      <c r="H35">
        <v>-0.66868787897730808</v>
      </c>
      <c r="I35">
        <v>-0.66868787897730808</v>
      </c>
    </row>
    <row r="36" spans="1:9" x14ac:dyDescent="0.2">
      <c r="A36" s="1" t="s">
        <v>36</v>
      </c>
      <c r="B36" t="str">
        <f>HYPERLINK("https://www.suredividend.com/sure-analysis-research-database/","Addus HomeCare Corporation")</f>
        <v>Addus HomeCare Corporation</v>
      </c>
      <c r="C36">
        <v>4.7154293233900007E-3</v>
      </c>
      <c r="D36">
        <v>4.4459644322845E-2</v>
      </c>
      <c r="E36">
        <v>5.4872695346790002E-3</v>
      </c>
      <c r="F36">
        <v>-1.3247172859450001E-2</v>
      </c>
      <c r="G36">
        <v>-0.14629146477823299</v>
      </c>
      <c r="H36">
        <v>0.27533407572383001</v>
      </c>
      <c r="I36">
        <v>0.33829973707274302</v>
      </c>
    </row>
    <row r="37" spans="1:9" x14ac:dyDescent="0.2">
      <c r="A37" s="1" t="s">
        <v>37</v>
      </c>
      <c r="B37" t="str">
        <f>HYPERLINK("https://www.suredividend.com/sure-analysis-research-database/","Advantage Solutions Inc.")</f>
        <v>Advantage Solutions Inc.</v>
      </c>
      <c r="C37">
        <v>3.6082474226804002E-2</v>
      </c>
      <c r="D37">
        <v>0.6079999999999991</v>
      </c>
      <c r="E37">
        <v>0.511278195488721</v>
      </c>
      <c r="F37">
        <v>0.11049723756906001</v>
      </c>
      <c r="G37">
        <v>0.570312499999999</v>
      </c>
      <c r="H37">
        <v>-0.48659003831417602</v>
      </c>
      <c r="I37">
        <v>-0.5939393939393941</v>
      </c>
    </row>
    <row r="38" spans="1:9" x14ac:dyDescent="0.2">
      <c r="A38" s="1" t="s">
        <v>38</v>
      </c>
      <c r="B38" t="str">
        <f>HYPERLINK("https://www.suredividend.com/sure-analysis-research-database/","Aehr Test Systems")</f>
        <v>Aehr Test Systems</v>
      </c>
      <c r="C38">
        <v>2.1084337349396999E-2</v>
      </c>
      <c r="D38">
        <v>-0.34757505773671998</v>
      </c>
      <c r="E38">
        <v>-0.58075686371506308</v>
      </c>
      <c r="F38">
        <v>-0.36110064078401799</v>
      </c>
      <c r="G38">
        <v>-0.51223021582733808</v>
      </c>
      <c r="H38">
        <v>0.34737678855325899</v>
      </c>
      <c r="I38">
        <v>11.28260869565217</v>
      </c>
    </row>
    <row r="39" spans="1:9" x14ac:dyDescent="0.2">
      <c r="A39" s="1" t="s">
        <v>39</v>
      </c>
      <c r="B39" t="str">
        <f>HYPERLINK("https://www.suredividend.com/sure-analysis-research-database/","Advanced Energy Industries Inc.")</f>
        <v>Advanced Energy Industries Inc.</v>
      </c>
      <c r="C39">
        <v>-5.5985017079467007E-2</v>
      </c>
      <c r="D39">
        <v>2.8975580425909E-2</v>
      </c>
      <c r="E39">
        <v>-0.103000894297301</v>
      </c>
      <c r="F39">
        <v>-8.4673239374490006E-2</v>
      </c>
      <c r="G39">
        <v>3.1683882114579003E-2</v>
      </c>
      <c r="H39">
        <v>0.166082454673813</v>
      </c>
      <c r="I39">
        <v>0.93488227523506107</v>
      </c>
    </row>
    <row r="40" spans="1:9" x14ac:dyDescent="0.2">
      <c r="A40" s="1" t="s">
        <v>40</v>
      </c>
      <c r="B40" t="str">
        <f>HYPERLINK("https://www.suredividend.com/sure-analysis-AEL/","American Equity Investment Life Holding Co")</f>
        <v>American Equity Investment Life Holding Co</v>
      </c>
      <c r="C40">
        <v>-9.8725542990480003E-3</v>
      </c>
      <c r="D40">
        <v>5.1020408163260002E-3</v>
      </c>
      <c r="E40">
        <v>4.4696969696969013E-2</v>
      </c>
      <c r="F40">
        <v>-1.1469534050179E-2</v>
      </c>
      <c r="G40">
        <v>0.226050233385196</v>
      </c>
      <c r="H40">
        <v>0.45081536033666397</v>
      </c>
      <c r="I40">
        <v>0.71548884901147902</v>
      </c>
    </row>
    <row r="41" spans="1:9" x14ac:dyDescent="0.2">
      <c r="A41" s="1" t="s">
        <v>41</v>
      </c>
      <c r="B41" t="str">
        <f>HYPERLINK("https://www.suredividend.com/sure-analysis-research-database/","American Eagle Outfitters Inc.")</f>
        <v>American Eagle Outfitters Inc.</v>
      </c>
      <c r="C41">
        <v>8.3086053412462002E-2</v>
      </c>
      <c r="D41">
        <v>0.115781429117309</v>
      </c>
      <c r="E41">
        <v>0.39574902010770802</v>
      </c>
      <c r="F41">
        <v>4.1428897511982997E-2</v>
      </c>
      <c r="G41">
        <v>0.44510577646391097</v>
      </c>
      <c r="H41">
        <v>8.4904959353218012E-2</v>
      </c>
      <c r="I41">
        <v>0.23033016668445599</v>
      </c>
    </row>
    <row r="42" spans="1:9" x14ac:dyDescent="0.2">
      <c r="A42" s="1" t="s">
        <v>42</v>
      </c>
      <c r="B42" t="str">
        <f>HYPERLINK("https://www.suredividend.com/sure-analysis-research-database/","Atlas Energy Solutions Inc.")</f>
        <v>Atlas Energy Solutions Inc.</v>
      </c>
      <c r="C42">
        <v>0.121636327661258</v>
      </c>
      <c r="D42">
        <v>7.3099743852156007E-2</v>
      </c>
      <c r="E42">
        <v>-0.158989860588892</v>
      </c>
      <c r="F42">
        <v>6.5623366171451009E-2</v>
      </c>
      <c r="G42">
        <v>-0.158989860588892</v>
      </c>
      <c r="H42">
        <v>-0.158989860588892</v>
      </c>
      <c r="I42">
        <v>-0.158989860588892</v>
      </c>
    </row>
    <row r="43" spans="1:9" x14ac:dyDescent="0.2">
      <c r="A43" s="1" t="s">
        <v>43</v>
      </c>
      <c r="B43" t="str">
        <f>HYPERLINK("https://www.suredividend.com/sure-analysis-research-database/","Aeva Technologies Inc")</f>
        <v>Aeva Technologies Inc</v>
      </c>
      <c r="C43">
        <v>2.8315141035339001E-2</v>
      </c>
      <c r="D43">
        <v>0.69910714285714204</v>
      </c>
      <c r="E43">
        <v>-6.7156862745098009E-2</v>
      </c>
      <c r="F43">
        <v>0.25577405305529899</v>
      </c>
      <c r="G43">
        <v>-0.45</v>
      </c>
      <c r="H43">
        <v>-0.79712153518123607</v>
      </c>
      <c r="I43">
        <v>-0.90340101522842609</v>
      </c>
    </row>
    <row r="44" spans="1:9" x14ac:dyDescent="0.2">
      <c r="A44" s="1" t="s">
        <v>44</v>
      </c>
      <c r="B44" t="str">
        <f>HYPERLINK("https://www.suredividend.com/sure-analysis-research-database/","AFC Gamma Inc")</f>
        <v>AFC Gamma Inc</v>
      </c>
      <c r="C44">
        <v>-5.1563820794589002E-2</v>
      </c>
      <c r="D44">
        <v>6.4233410479188999E-2</v>
      </c>
      <c r="E44">
        <v>6.912126236350101E-2</v>
      </c>
      <c r="F44">
        <v>-6.7331670822942002E-2</v>
      </c>
      <c r="G44">
        <v>-0.11606214350991</v>
      </c>
      <c r="H44">
        <v>-0.188896117978746</v>
      </c>
      <c r="I44">
        <v>-0.256165473349244</v>
      </c>
    </row>
    <row r="45" spans="1:9" x14ac:dyDescent="0.2">
      <c r="A45" s="1" t="s">
        <v>45</v>
      </c>
      <c r="B45" t="str">
        <f>HYPERLINK("https://www.suredividend.com/sure-analysis-research-database/","Forafric Global PLC")</f>
        <v>Forafric Global PLC</v>
      </c>
      <c r="C45">
        <v>-1.9811320754715998E-2</v>
      </c>
      <c r="D45">
        <v>-0.114991482112436</v>
      </c>
      <c r="E45">
        <v>-5.8023572076155001E-2</v>
      </c>
      <c r="F45">
        <v>-1.8885741265344001E-2</v>
      </c>
      <c r="G45">
        <v>-8.3774250440917006E-2</v>
      </c>
      <c r="H45">
        <v>0.23837902264600699</v>
      </c>
      <c r="I45">
        <v>0.23837902264600699</v>
      </c>
    </row>
    <row r="46" spans="1:9" x14ac:dyDescent="0.2">
      <c r="A46" s="1" t="s">
        <v>46</v>
      </c>
      <c r="B46" t="str">
        <f>HYPERLINK("https://www.suredividend.com/sure-analysis-research-database/","Agenus Inc")</f>
        <v>Agenus Inc</v>
      </c>
      <c r="C46">
        <v>0.15640138408304499</v>
      </c>
      <c r="D46">
        <v>-9.9434114793856013E-2</v>
      </c>
      <c r="E46">
        <v>-0.54530612244897902</v>
      </c>
      <c r="F46">
        <v>-0.19265611788863299</v>
      </c>
      <c r="G46">
        <v>-0.68292220113851909</v>
      </c>
      <c r="H46">
        <v>-0.72768384599714808</v>
      </c>
      <c r="I46">
        <v>-0.76775538568450308</v>
      </c>
    </row>
    <row r="47" spans="1:9" x14ac:dyDescent="0.2">
      <c r="A47" s="1" t="s">
        <v>47</v>
      </c>
      <c r="B47" t="str">
        <f>HYPERLINK("https://www.suredividend.com/sure-analysis-research-database/","Agios Pharmaceuticals Inc")</f>
        <v>Agios Pharmaceuticals Inc</v>
      </c>
      <c r="C47">
        <v>0.24712379199263701</v>
      </c>
      <c r="D47">
        <v>0.26046511627906899</v>
      </c>
      <c r="E47">
        <v>3.2774390243902003E-2</v>
      </c>
      <c r="F47">
        <v>0.21688370004490301</v>
      </c>
      <c r="G47">
        <v>-2.0953757225432999E-2</v>
      </c>
      <c r="H47">
        <v>-7.8857919782460012E-2</v>
      </c>
      <c r="I47">
        <v>-0.53178991015894905</v>
      </c>
    </row>
    <row r="48" spans="1:9" x14ac:dyDescent="0.2">
      <c r="A48" s="1" t="s">
        <v>48</v>
      </c>
      <c r="B48" t="str">
        <f>HYPERLINK("https://www.suredividend.com/sure-analysis-AGM/","Federal Agricultural Mortgage Corp.")</f>
        <v>Federal Agricultural Mortgage Corp.</v>
      </c>
      <c r="C48">
        <v>-5.2793190755800008E-3</v>
      </c>
      <c r="D48">
        <v>0.110382815976523</v>
      </c>
      <c r="E48">
        <v>9.2567993349328012E-2</v>
      </c>
      <c r="F48">
        <v>-3.4358330718543002E-2</v>
      </c>
      <c r="G48">
        <v>0.36288149979702511</v>
      </c>
      <c r="H48">
        <v>0.57637141752201004</v>
      </c>
      <c r="I48">
        <v>2.0243173788921811</v>
      </c>
    </row>
    <row r="49" spans="1:9" x14ac:dyDescent="0.2">
      <c r="A49" s="1" t="s">
        <v>49</v>
      </c>
      <c r="B49" t="str">
        <f>HYPERLINK("https://www.suredividend.com/sure-analysis-research-database/","PlayAGS Inc")</f>
        <v>PlayAGS Inc</v>
      </c>
      <c r="C49">
        <v>0.109756097560975</v>
      </c>
      <c r="D49">
        <v>0.238095238095238</v>
      </c>
      <c r="E49">
        <v>0.30935251798561098</v>
      </c>
      <c r="F49">
        <v>7.9478054567022005E-2</v>
      </c>
      <c r="G49">
        <v>0.40215716486902903</v>
      </c>
      <c r="H49">
        <v>0.21171770972037199</v>
      </c>
      <c r="I49">
        <v>-0.62505150391429709</v>
      </c>
    </row>
    <row r="50" spans="1:9" x14ac:dyDescent="0.2">
      <c r="A50" s="1" t="s">
        <v>50</v>
      </c>
      <c r="B50" t="str">
        <f>HYPERLINK("https://www.suredividend.com/sure-analysis-research-database/","Agiliti Inc")</f>
        <v>Agiliti Inc</v>
      </c>
      <c r="C50">
        <v>0.120115774240231</v>
      </c>
      <c r="D50">
        <v>-2.1491782553729001E-2</v>
      </c>
      <c r="E50">
        <v>-0.244878048780487</v>
      </c>
      <c r="F50">
        <v>-2.2727272727271999E-2</v>
      </c>
      <c r="G50">
        <v>-0.58162162162162101</v>
      </c>
      <c r="H50">
        <v>-0.5692821368948241</v>
      </c>
      <c r="I50">
        <v>-0.52804878048780401</v>
      </c>
    </row>
    <row r="51" spans="1:9" x14ac:dyDescent="0.2">
      <c r="A51" s="1" t="s">
        <v>51</v>
      </c>
      <c r="B51" t="str">
        <f>HYPERLINK("https://www.suredividend.com/sure-analysis-research-database/","Argan, Inc.")</f>
        <v>Argan, Inc.</v>
      </c>
      <c r="C51">
        <v>2.0044052863435999E-2</v>
      </c>
      <c r="D51">
        <v>7.9135688541430004E-3</v>
      </c>
      <c r="E51">
        <v>0.16190089093285701</v>
      </c>
      <c r="F51">
        <v>-3.717504109046E-3</v>
      </c>
      <c r="G51">
        <v>0.19195309403328401</v>
      </c>
      <c r="H51">
        <v>0.26892704286019598</v>
      </c>
      <c r="I51">
        <v>0.11822089148597099</v>
      </c>
    </row>
    <row r="52" spans="1:9" x14ac:dyDescent="0.2">
      <c r="A52" s="1" t="s">
        <v>52</v>
      </c>
      <c r="B52" t="str">
        <f>HYPERLINK("https://www.suredividend.com/sure-analysis-research-database/","Agilysys, Inc")</f>
        <v>Agilysys, Inc</v>
      </c>
      <c r="C52">
        <v>-4.9613713182037007E-2</v>
      </c>
      <c r="D52">
        <v>-0.121218886036387</v>
      </c>
      <c r="E52">
        <v>0.123911491791577</v>
      </c>
      <c r="F52">
        <v>-7.1799103984909005E-2</v>
      </c>
      <c r="G52">
        <v>-4.9843108858315013E-2</v>
      </c>
      <c r="H52">
        <v>1.0156169994879669</v>
      </c>
      <c r="I52">
        <v>2.8517612524461842</v>
      </c>
    </row>
    <row r="53" spans="1:9" x14ac:dyDescent="0.2">
      <c r="A53" s="1" t="s">
        <v>53</v>
      </c>
      <c r="B53" t="str">
        <f>HYPERLINK("https://www.suredividend.com/sure-analysis-research-database/","AdaptHealth Corp")</f>
        <v>AdaptHealth Corp</v>
      </c>
      <c r="C53">
        <v>5.3857350800582002E-2</v>
      </c>
      <c r="D53">
        <v>-0.15023474178403701</v>
      </c>
      <c r="E53">
        <v>-0.37207285342584501</v>
      </c>
      <c r="F53">
        <v>-6.8587105624140004E-3</v>
      </c>
      <c r="G53">
        <v>-0.67475292003593801</v>
      </c>
      <c r="H53">
        <v>-0.56827668455575409</v>
      </c>
      <c r="I53">
        <v>-0.6907304570696281</v>
      </c>
    </row>
    <row r="54" spans="1:9" x14ac:dyDescent="0.2">
      <c r="A54" s="1" t="s">
        <v>54</v>
      </c>
      <c r="B54" t="str">
        <f>HYPERLINK("https://www.suredividend.com/sure-analysis-research-database/","Armada Hoffler Properties Inc")</f>
        <v>Armada Hoffler Properties Inc</v>
      </c>
      <c r="C54">
        <v>-5.9210526315789012E-2</v>
      </c>
      <c r="D54">
        <v>7.8614395353661007E-2</v>
      </c>
      <c r="E54">
        <v>4.3357714827717997E-2</v>
      </c>
      <c r="F54">
        <v>-7.5181891673403001E-2</v>
      </c>
      <c r="G54">
        <v>-9.0272918124562007E-2</v>
      </c>
      <c r="H54">
        <v>-8.9968976215098001E-2</v>
      </c>
      <c r="I54">
        <v>-3.7774095600170997E-2</v>
      </c>
    </row>
    <row r="55" spans="1:9" x14ac:dyDescent="0.2">
      <c r="A55" s="1" t="s">
        <v>55</v>
      </c>
      <c r="B55" t="str">
        <f>HYPERLINK("https://www.suredividend.com/sure-analysis-research-database/","C3.ai Inc")</f>
        <v>C3.ai Inc</v>
      </c>
      <c r="C55">
        <v>9.0286174929464003E-2</v>
      </c>
      <c r="D55">
        <v>-3.5306704707559998E-2</v>
      </c>
      <c r="E55">
        <v>-0.11456628477905</v>
      </c>
      <c r="F55">
        <v>-5.7819575060953997E-2</v>
      </c>
      <c r="G55">
        <v>0.134647651006711</v>
      </c>
      <c r="H55">
        <v>0.27654554034922102</v>
      </c>
      <c r="I55">
        <v>-0.70753594983241408</v>
      </c>
    </row>
    <row r="56" spans="1:9" x14ac:dyDescent="0.2">
      <c r="A56" s="1" t="s">
        <v>56</v>
      </c>
      <c r="B56" t="str">
        <f>HYPERLINK("https://www.suredividend.com/sure-analysis-research-database/","Albany International Corp.")</f>
        <v>Albany International Corp.</v>
      </c>
      <c r="C56">
        <v>4.8522727272727002E-2</v>
      </c>
      <c r="D56">
        <v>9.2482743106122006E-2</v>
      </c>
      <c r="E56">
        <v>6.9736224640130004E-3</v>
      </c>
      <c r="F56">
        <v>-6.0578293626552003E-2</v>
      </c>
      <c r="G56">
        <v>-9.8825455177627003E-2</v>
      </c>
      <c r="H56">
        <v>6.3604150672835008E-2</v>
      </c>
      <c r="I56">
        <v>0.27242113043729999</v>
      </c>
    </row>
    <row r="57" spans="1:9" x14ac:dyDescent="0.2">
      <c r="A57" s="1" t="s">
        <v>57</v>
      </c>
      <c r="B57" t="str">
        <f>HYPERLINK("https://www.suredividend.com/sure-analysis-research-database/","AAR Corp.")</f>
        <v>AAR Corp.</v>
      </c>
      <c r="C57">
        <v>0.13263050501615301</v>
      </c>
      <c r="D57">
        <v>-2.844311377245E-3</v>
      </c>
      <c r="E57">
        <v>0.116306351600469</v>
      </c>
      <c r="F57">
        <v>6.7467948717948006E-2</v>
      </c>
      <c r="G57">
        <v>0.223998529952223</v>
      </c>
      <c r="H57">
        <v>0.54511714219438601</v>
      </c>
      <c r="I57">
        <v>0.78886024277580802</v>
      </c>
    </row>
    <row r="58" spans="1:9" x14ac:dyDescent="0.2">
      <c r="A58" s="1" t="s">
        <v>58</v>
      </c>
      <c r="B58" t="str">
        <f>HYPERLINK("https://www.suredividend.com/sure-analysis-research-database/","Airsculpt Technologies Inc")</f>
        <v>Airsculpt Technologies Inc</v>
      </c>
      <c r="C58">
        <v>-0.144880875724404</v>
      </c>
      <c r="D58">
        <v>0.207272727272727</v>
      </c>
      <c r="E58">
        <v>-0.15089514066496101</v>
      </c>
      <c r="F58">
        <v>-0.113484646194926</v>
      </c>
      <c r="G58">
        <v>-6.6104078762306007E-2</v>
      </c>
      <c r="H58">
        <v>-0.47361745306950698</v>
      </c>
      <c r="I58">
        <v>-0.56405559604236</v>
      </c>
    </row>
    <row r="59" spans="1:9" x14ac:dyDescent="0.2">
      <c r="A59" s="1" t="s">
        <v>59</v>
      </c>
      <c r="B59" t="str">
        <f>HYPERLINK("https://www.suredividend.com/sure-analysis-AIT/","Applied Industrial Technologies Inc.")</f>
        <v>Applied Industrial Technologies Inc.</v>
      </c>
      <c r="C59">
        <v>6.8113263293870005E-2</v>
      </c>
      <c r="D59">
        <v>0.14900332246377199</v>
      </c>
      <c r="E59">
        <v>0.26811261688437399</v>
      </c>
      <c r="F59">
        <v>8.2400917725577005E-2</v>
      </c>
      <c r="G59">
        <v>0.29929017550238302</v>
      </c>
      <c r="H59">
        <v>0.93533929130933602</v>
      </c>
      <c r="I59">
        <v>2.3169094100012262</v>
      </c>
    </row>
    <row r="60" spans="1:9" x14ac:dyDescent="0.2">
      <c r="A60" s="1" t="s">
        <v>60</v>
      </c>
      <c r="B60" t="str">
        <f>HYPERLINK("https://www.suredividend.com/sure-analysis-research-database/","Apartment Investment &amp; Management Co.")</f>
        <v>Apartment Investment &amp; Management Co.</v>
      </c>
      <c r="C60">
        <v>-2.6007802340699999E-3</v>
      </c>
      <c r="D60">
        <v>0.16036308623298001</v>
      </c>
      <c r="E60">
        <v>-3.0341340075852999E-2</v>
      </c>
      <c r="F60">
        <v>-2.0434227330779001E-2</v>
      </c>
      <c r="G60">
        <v>7.8843626806830002E-3</v>
      </c>
      <c r="H60">
        <v>0.101236198653247</v>
      </c>
      <c r="I60">
        <v>0.31481957658352611</v>
      </c>
    </row>
    <row r="61" spans="1:9" x14ac:dyDescent="0.2">
      <c r="A61" s="1" t="s">
        <v>61</v>
      </c>
      <c r="B61" t="str">
        <f>HYPERLINK("https://www.suredividend.com/sure-analysis-AKR/","Acadia Realty Trust")</f>
        <v>Acadia Realty Trust</v>
      </c>
      <c r="C61">
        <v>-2.191943127962E-2</v>
      </c>
      <c r="D61">
        <v>0.116702514778891</v>
      </c>
      <c r="E61">
        <v>0.153118168420905</v>
      </c>
      <c r="F61">
        <v>-2.8251912889935001E-2</v>
      </c>
      <c r="G61">
        <v>0.14385084905464299</v>
      </c>
      <c r="H61">
        <v>-0.146099261435339</v>
      </c>
      <c r="I61">
        <v>-0.31670977754785301</v>
      </c>
    </row>
    <row r="62" spans="1:9" x14ac:dyDescent="0.2">
      <c r="A62" s="1" t="s">
        <v>62</v>
      </c>
      <c r="B62" t="str">
        <f>HYPERLINK("https://www.suredividend.com/sure-analysis-research-database/","Akero Therapeutics Inc")</f>
        <v>Akero Therapeutics Inc</v>
      </c>
      <c r="C62">
        <v>-1.3235965312642E-2</v>
      </c>
      <c r="D62">
        <v>0.29694061187762399</v>
      </c>
      <c r="E62">
        <v>-0.53369998921600303</v>
      </c>
      <c r="F62">
        <v>-7.4089935760171005E-2</v>
      </c>
      <c r="G62">
        <v>-0.51944876639253101</v>
      </c>
      <c r="H62">
        <v>0.218714768883878</v>
      </c>
      <c r="I62">
        <v>0.18013100436681201</v>
      </c>
    </row>
    <row r="63" spans="1:9" x14ac:dyDescent="0.2">
      <c r="A63" s="1" t="s">
        <v>63</v>
      </c>
      <c r="B63" t="str">
        <f>HYPERLINK("https://www.suredividend.com/sure-analysis-research-database/","Akoustis Technologies Inc")</f>
        <v>Akoustis Technologies Inc</v>
      </c>
      <c r="C63">
        <v>7.2567567567567007E-2</v>
      </c>
      <c r="D63">
        <v>0.32283333333333297</v>
      </c>
      <c r="E63">
        <v>-0.57327956989247308</v>
      </c>
      <c r="F63">
        <v>-4.8321342925658997E-2</v>
      </c>
      <c r="G63">
        <v>-0.79570141570141506</v>
      </c>
      <c r="H63">
        <v>-0.87031045751633906</v>
      </c>
      <c r="I63">
        <v>-0.88463662790697606</v>
      </c>
    </row>
    <row r="64" spans="1:9" x14ac:dyDescent="0.2">
      <c r="A64" s="1" t="s">
        <v>64</v>
      </c>
      <c r="B64" t="str">
        <f>HYPERLINK("https://www.suredividend.com/sure-analysis-research-database/","Akoya Biosciences Inc")</f>
        <v>Akoya Biosciences Inc</v>
      </c>
      <c r="C64">
        <v>0.110453648915187</v>
      </c>
      <c r="D64">
        <v>0.28246013667425901</v>
      </c>
      <c r="E64">
        <v>7.6481835564053011E-2</v>
      </c>
      <c r="F64">
        <v>0.15368852459016399</v>
      </c>
      <c r="G64">
        <v>-0.555993690851735</v>
      </c>
      <c r="H64">
        <v>-0.51043478260869501</v>
      </c>
      <c r="I64">
        <v>-0.78387715930902102</v>
      </c>
    </row>
    <row r="65" spans="1:9" x14ac:dyDescent="0.2">
      <c r="A65" s="1" t="s">
        <v>65</v>
      </c>
      <c r="B65" t="str">
        <f>HYPERLINK("https://www.suredividend.com/sure-analysis-research-database/","Alico Inc.")</f>
        <v>Alico Inc.</v>
      </c>
      <c r="C65">
        <v>-3.5702256652071003E-2</v>
      </c>
      <c r="D65">
        <v>5.6001652423123001E-2</v>
      </c>
      <c r="E65">
        <v>0.208511500487541</v>
      </c>
      <c r="F65">
        <v>-1.5474552957359E-2</v>
      </c>
      <c r="G65">
        <v>9.106984295149001E-2</v>
      </c>
      <c r="H65">
        <v>-6.5743831722940002E-2</v>
      </c>
      <c r="I65">
        <v>7.5200168246481E-2</v>
      </c>
    </row>
    <row r="66" spans="1:9" x14ac:dyDescent="0.2">
      <c r="A66" s="1" t="s">
        <v>66</v>
      </c>
      <c r="B66" t="str">
        <f>HYPERLINK("https://www.suredividend.com/sure-analysis-research-database/","Aldeyra Therapeutics Inc")</f>
        <v>Aldeyra Therapeutics Inc</v>
      </c>
      <c r="C66">
        <v>0.11688311688311601</v>
      </c>
      <c r="D66">
        <v>0.29323308270676601</v>
      </c>
      <c r="E66">
        <v>-0.53069577080491104</v>
      </c>
      <c r="F66">
        <v>-1.9943019943018999E-2</v>
      </c>
      <c r="G66">
        <v>-0.51617440225035105</v>
      </c>
      <c r="H66">
        <v>-0.106493506493506</v>
      </c>
      <c r="I66">
        <v>-0.55612903225806409</v>
      </c>
    </row>
    <row r="67" spans="1:9" x14ac:dyDescent="0.2">
      <c r="A67" s="1" t="s">
        <v>67</v>
      </c>
      <c r="B67" t="str">
        <f>HYPERLINK("https://www.suredividend.com/sure-analysis-ALE/","Allete, Inc.")</f>
        <v>Allete, Inc.</v>
      </c>
      <c r="C67">
        <v>-5.4332176339030001E-3</v>
      </c>
      <c r="D67">
        <v>4.8302233821559001E-2</v>
      </c>
      <c r="E67">
        <v>5.2310869561251007E-2</v>
      </c>
      <c r="F67">
        <v>-4.5112159589437012E-2</v>
      </c>
      <c r="G67">
        <v>-1.9879388070328002E-2</v>
      </c>
      <c r="H67">
        <v>3.1211673716617001E-2</v>
      </c>
      <c r="I67">
        <v>-0.120020748470563</v>
      </c>
    </row>
    <row r="68" spans="1:9" x14ac:dyDescent="0.2">
      <c r="A68" s="1" t="s">
        <v>68</v>
      </c>
      <c r="B68" t="str">
        <f>HYPERLINK("https://www.suredividend.com/sure-analysis-research-database/","Alector Inc")</f>
        <v>Alector Inc</v>
      </c>
      <c r="C68">
        <v>7.8231292517006001E-2</v>
      </c>
      <c r="D68">
        <v>0.28861788617886103</v>
      </c>
      <c r="E68">
        <v>-0.115760111576011</v>
      </c>
      <c r="F68">
        <v>-0.20551378446115201</v>
      </c>
      <c r="G68">
        <v>-0.35569105691056901</v>
      </c>
      <c r="H68">
        <v>-0.61246943765281103</v>
      </c>
      <c r="I68">
        <v>-0.69694072657743711</v>
      </c>
    </row>
    <row r="69" spans="1:9" x14ac:dyDescent="0.2">
      <c r="A69" s="1" t="s">
        <v>69</v>
      </c>
      <c r="B69" t="str">
        <f>HYPERLINK("https://www.suredividend.com/sure-analysis-research-database/","Alexander &amp; Baldwin Inc.")</f>
        <v>Alexander &amp; Baldwin Inc.</v>
      </c>
      <c r="C69">
        <v>-2.5337837837837999E-2</v>
      </c>
      <c r="D69">
        <v>5.2727604451742002E-2</v>
      </c>
      <c r="E69">
        <v>-1.1455918129589999E-2</v>
      </c>
      <c r="F69">
        <v>-8.9905362776025011E-2</v>
      </c>
      <c r="G69">
        <v>-5.4836930704422013E-2</v>
      </c>
      <c r="H69">
        <v>-0.16007161954301199</v>
      </c>
      <c r="I69">
        <v>-0.16062960053533501</v>
      </c>
    </row>
    <row r="70" spans="1:9" x14ac:dyDescent="0.2">
      <c r="A70" s="1" t="s">
        <v>70</v>
      </c>
      <c r="B70" t="str">
        <f>HYPERLINK("https://www.suredividend.com/sure-analysis-research-database/","Alamo Group Inc.")</f>
        <v>Alamo Group Inc.</v>
      </c>
      <c r="C70">
        <v>5.2549478404991003E-2</v>
      </c>
      <c r="D70">
        <v>0.15987369882175401</v>
      </c>
      <c r="E70">
        <v>0.27016023478434198</v>
      </c>
      <c r="F70">
        <v>2.8595056912860999E-2</v>
      </c>
      <c r="G70">
        <v>0.32994072795653401</v>
      </c>
      <c r="H70">
        <v>0.59727770380233702</v>
      </c>
      <c r="I70">
        <v>1.3853371144623761</v>
      </c>
    </row>
    <row r="71" spans="1:9" x14ac:dyDescent="0.2">
      <c r="A71" s="1" t="s">
        <v>71</v>
      </c>
      <c r="B71" t="str">
        <f>HYPERLINK("https://www.suredividend.com/sure-analysis-research-database/","Allegiant Travel")</f>
        <v>Allegiant Travel</v>
      </c>
      <c r="C71">
        <v>9.6624209902156005E-2</v>
      </c>
      <c r="D71">
        <v>0.17990174236593701</v>
      </c>
      <c r="E71">
        <v>-0.10879848421439101</v>
      </c>
      <c r="F71">
        <v>-5.0600916379170014E-3</v>
      </c>
      <c r="G71">
        <v>-0.15508307244779301</v>
      </c>
      <c r="H71">
        <v>-0.50602897809896208</v>
      </c>
      <c r="I71">
        <v>-0.36293195025932601</v>
      </c>
    </row>
    <row r="72" spans="1:9" x14ac:dyDescent="0.2">
      <c r="A72" s="1" t="s">
        <v>72</v>
      </c>
      <c r="B72" t="str">
        <f>HYPERLINK("https://www.suredividend.com/sure-analysis-research-database/","Alignment Healthcare Inc")</f>
        <v>Alignment Healthcare Inc</v>
      </c>
      <c r="C72">
        <v>-4.2253521126760001E-2</v>
      </c>
      <c r="D72">
        <v>1.6442451420029001E-2</v>
      </c>
      <c r="E72">
        <v>0.11111111111111099</v>
      </c>
      <c r="F72">
        <v>-0.210220673635307</v>
      </c>
      <c r="G72">
        <v>-0.38572719060523902</v>
      </c>
      <c r="H72">
        <v>-0.140328697850821</v>
      </c>
      <c r="I72">
        <v>-0.60716348931253605</v>
      </c>
    </row>
    <row r="73" spans="1:9" x14ac:dyDescent="0.2">
      <c r="A73" s="1" t="s">
        <v>73</v>
      </c>
      <c r="B73" t="str">
        <f>HYPERLINK("https://www.suredividend.com/sure-analysis-research-database/","Alight Inc.")</f>
        <v>Alight Inc.</v>
      </c>
      <c r="C73">
        <v>0.12573443008225599</v>
      </c>
      <c r="D73">
        <v>0.27903871829105398</v>
      </c>
      <c r="E73">
        <v>0.249022164276401</v>
      </c>
      <c r="F73">
        <v>0.123094958968347</v>
      </c>
      <c r="G73">
        <v>0</v>
      </c>
      <c r="H73">
        <v>-9.1943127962085008E-2</v>
      </c>
      <c r="I73">
        <v>-7.8846153846153011E-2</v>
      </c>
    </row>
    <row r="74" spans="1:9" x14ac:dyDescent="0.2">
      <c r="A74" s="1" t="s">
        <v>74</v>
      </c>
      <c r="B74" t="str">
        <f>HYPERLINK("https://www.suredividend.com/sure-analysis-research-database/","Alkermes plc")</f>
        <v>Alkermes plc</v>
      </c>
      <c r="C74">
        <v>8.9247311827957004E-2</v>
      </c>
      <c r="D74">
        <v>0.25682382133995002</v>
      </c>
      <c r="E74">
        <v>3.7909836065573001E-2</v>
      </c>
      <c r="F74">
        <v>9.5529920692141002E-2</v>
      </c>
      <c r="G74">
        <v>8.2650516565728013E-2</v>
      </c>
      <c r="H74">
        <v>0.21172248803827701</v>
      </c>
      <c r="I74">
        <v>-8.8755622188905009E-2</v>
      </c>
    </row>
    <row r="75" spans="1:9" x14ac:dyDescent="0.2">
      <c r="A75" s="1" t="s">
        <v>75</v>
      </c>
      <c r="B75" t="str">
        <f>HYPERLINK("https://www.suredividend.com/sure-analysis-research-database/","Alkami Technology Inc")</f>
        <v>Alkami Technology Inc</v>
      </c>
      <c r="C75">
        <v>5.5990119390695002E-2</v>
      </c>
      <c r="D75">
        <v>0.119598428633784</v>
      </c>
      <c r="E75">
        <v>0.63064208518753906</v>
      </c>
      <c r="F75">
        <v>5.7731958762885997E-2</v>
      </c>
      <c r="G75">
        <v>0.63167938931297607</v>
      </c>
      <c r="H75">
        <v>0.72727272727272707</v>
      </c>
      <c r="I75">
        <v>-0.40348837209302302</v>
      </c>
    </row>
    <row r="76" spans="1:9" x14ac:dyDescent="0.2">
      <c r="A76" s="1" t="s">
        <v>76</v>
      </c>
      <c r="B76" t="str">
        <f>HYPERLINK("https://www.suredividend.com/sure-analysis-research-database/","Allakos Inc")</f>
        <v>Allakos Inc</v>
      </c>
      <c r="C76">
        <v>5.1724137931034003E-2</v>
      </c>
      <c r="D76">
        <v>-0.36125654450261702</v>
      </c>
      <c r="E76">
        <v>-0.60645161290322502</v>
      </c>
      <c r="F76">
        <v>-0.55311355311355304</v>
      </c>
      <c r="G76">
        <v>-0.80726698262243202</v>
      </c>
      <c r="H76">
        <v>-0.78819444444444409</v>
      </c>
      <c r="I76">
        <v>-0.96640969162995605</v>
      </c>
    </row>
    <row r="77" spans="1:9" x14ac:dyDescent="0.2">
      <c r="A77" s="1" t="s">
        <v>77</v>
      </c>
      <c r="B77" t="str">
        <f>HYPERLINK("https://www.suredividend.com/sure-analysis-research-database/","Allogene Therapeutics Inc")</f>
        <v>Allogene Therapeutics Inc</v>
      </c>
      <c r="C77">
        <v>0.50485436893203905</v>
      </c>
      <c r="D77">
        <v>0.55518394648829406</v>
      </c>
      <c r="E77">
        <v>0.177215189873417</v>
      </c>
      <c r="F77">
        <v>0.44859813084112099</v>
      </c>
      <c r="G77">
        <v>-0.35416666666666602</v>
      </c>
      <c r="H77">
        <v>-0.5</v>
      </c>
      <c r="I77">
        <v>-0.84848484848484806</v>
      </c>
    </row>
    <row r="78" spans="1:9" x14ac:dyDescent="0.2">
      <c r="A78" s="1" t="s">
        <v>78</v>
      </c>
      <c r="B78" t="str">
        <f>HYPERLINK("https://www.suredividend.com/sure-analysis-research-database/","Allient Inc")</f>
        <v>Allient Inc</v>
      </c>
      <c r="C78">
        <v>4.1189111747849998E-2</v>
      </c>
      <c r="D78">
        <v>9.5740670938559008E-2</v>
      </c>
      <c r="E78">
        <v>-0.129901227177491</v>
      </c>
      <c r="F78">
        <v>-3.7735849056603002E-2</v>
      </c>
      <c r="G78">
        <v>-0.31204873165640701</v>
      </c>
      <c r="H78">
        <v>-0.162990774759003</v>
      </c>
      <c r="I78">
        <v>4.1707726984422003E-2</v>
      </c>
    </row>
    <row r="79" spans="1:9" x14ac:dyDescent="0.2">
      <c r="A79" s="1" t="s">
        <v>79</v>
      </c>
      <c r="B79" t="str">
        <f>HYPERLINK("https://www.suredividend.com/sure-analysis-research-database/","Alpine Immune Sciences Inc")</f>
        <v>Alpine Immune Sciences Inc</v>
      </c>
      <c r="C79">
        <v>0.53780241935483808</v>
      </c>
      <c r="D79">
        <v>1.1746258018531719</v>
      </c>
      <c r="E79">
        <v>1.3891934220830069</v>
      </c>
      <c r="F79">
        <v>0.60073452256033599</v>
      </c>
      <c r="G79">
        <v>2.645161290322581</v>
      </c>
      <c r="H79">
        <v>3.0788770053475938</v>
      </c>
      <c r="I79">
        <v>4.085</v>
      </c>
    </row>
    <row r="80" spans="1:9" x14ac:dyDescent="0.2">
      <c r="A80" s="1" t="s">
        <v>80</v>
      </c>
      <c r="B80" t="str">
        <f>HYPERLINK("https://www.suredividend.com/sure-analysis-research-database/","Alarm.com Holdings Inc")</f>
        <v>Alarm.com Holdings Inc</v>
      </c>
      <c r="C80">
        <v>0.12081844754790499</v>
      </c>
      <c r="D80">
        <v>0.17360993028396501</v>
      </c>
      <c r="E80">
        <v>0.20748775367389699</v>
      </c>
      <c r="F80">
        <v>6.8090374497059E-2</v>
      </c>
      <c r="G80">
        <v>0.30079155672823199</v>
      </c>
      <c r="H80">
        <v>2.614758861127E-3</v>
      </c>
      <c r="I80">
        <v>6.6769706336939003E-2</v>
      </c>
    </row>
    <row r="81" spans="1:9" x14ac:dyDescent="0.2">
      <c r="A81" s="1" t="s">
        <v>81</v>
      </c>
      <c r="B81" t="str">
        <f>HYPERLINK("https://www.suredividend.com/sure-analysis-ALRS/","Alerus Financial Corp")</f>
        <v>Alerus Financial Corp</v>
      </c>
      <c r="C81">
        <v>5.7509505703421997E-2</v>
      </c>
      <c r="D81">
        <v>0.20954809108848399</v>
      </c>
      <c r="E81">
        <v>0.22736274223175901</v>
      </c>
      <c r="F81">
        <v>-6.2527914247430009E-3</v>
      </c>
      <c r="G81">
        <v>0.177516577845753</v>
      </c>
      <c r="H81">
        <v>-0.171053562979438</v>
      </c>
      <c r="I81">
        <v>-0.51839201374909605</v>
      </c>
    </row>
    <row r="82" spans="1:9" x14ac:dyDescent="0.2">
      <c r="A82" s="1" t="s">
        <v>82</v>
      </c>
      <c r="B82" t="str">
        <f>HYPERLINK("https://www.suredividend.com/sure-analysis-research-database/","Altimmune Inc")</f>
        <v>Altimmune Inc</v>
      </c>
      <c r="C82">
        <v>-9.1891891891891009E-2</v>
      </c>
      <c r="D82">
        <v>2.1939163498098861</v>
      </c>
      <c r="E82">
        <v>2.1698113207547172</v>
      </c>
      <c r="F82">
        <v>-0.25333333333333302</v>
      </c>
      <c r="G82">
        <v>-0.29765886287625398</v>
      </c>
      <c r="H82">
        <v>0.18980169971671401</v>
      </c>
      <c r="I82">
        <v>1.9370629370629371</v>
      </c>
    </row>
    <row r="83" spans="1:9" x14ac:dyDescent="0.2">
      <c r="A83" s="1" t="s">
        <v>83</v>
      </c>
      <c r="B83" t="str">
        <f>HYPERLINK("https://www.suredividend.com/sure-analysis-research-database/","Alta Equipment Group Inc")</f>
        <v>Alta Equipment Group Inc</v>
      </c>
      <c r="C83">
        <v>0.11590537122452001</v>
      </c>
      <c r="D83">
        <v>0.14124852588732001</v>
      </c>
      <c r="E83">
        <v>-0.13875392046392401</v>
      </c>
      <c r="F83">
        <v>-2.4818372421863001E-2</v>
      </c>
      <c r="G83">
        <v>-0.32433573757200002</v>
      </c>
      <c r="H83">
        <v>-4.5551074948100997E-2</v>
      </c>
      <c r="I83">
        <v>0.23711340206185499</v>
      </c>
    </row>
    <row r="84" spans="1:9" x14ac:dyDescent="0.2">
      <c r="A84" s="1" t="s">
        <v>84</v>
      </c>
      <c r="B84" t="str">
        <f>HYPERLINK("https://www.suredividend.com/sure-analysis-research-database/","AlTi Global Inc")</f>
        <v>AlTi Global Inc</v>
      </c>
      <c r="C84">
        <v>-8.5987261146496005E-2</v>
      </c>
      <c r="D84">
        <v>-0.258397932816537</v>
      </c>
      <c r="E84">
        <v>-0.22327469553450599</v>
      </c>
      <c r="F84">
        <v>-0.34474885844748798</v>
      </c>
      <c r="G84">
        <v>-0.268789808917197</v>
      </c>
      <c r="H84">
        <v>-0.37676438653637301</v>
      </c>
      <c r="I84">
        <v>-0.37676438653637301</v>
      </c>
    </row>
    <row r="85" spans="1:9" x14ac:dyDescent="0.2">
      <c r="A85" s="1" t="s">
        <v>85</v>
      </c>
      <c r="B85" t="str">
        <f>HYPERLINK("https://www.suredividend.com/sure-analysis-research-database/","Arcadium Lithium PLC")</f>
        <v>Arcadium Lithium PLC</v>
      </c>
      <c r="C85">
        <v>-8.2840236686390012E-2</v>
      </c>
      <c r="D85">
        <v>-0.31718061674008802</v>
      </c>
      <c r="E85">
        <v>-0.31718061674008802</v>
      </c>
      <c r="F85">
        <v>-0.31718061674008802</v>
      </c>
      <c r="G85">
        <v>-0.31718061674008802</v>
      </c>
      <c r="H85">
        <v>-0.31718061674008802</v>
      </c>
      <c r="I85">
        <v>-0.31718061674008802</v>
      </c>
    </row>
    <row r="86" spans="1:9" x14ac:dyDescent="0.2">
      <c r="A86" s="1" t="s">
        <v>86</v>
      </c>
      <c r="B86" t="str">
        <f>HYPERLINK("https://www.suredividend.com/sure-analysis-research-database/","Altair Engineering Inc")</f>
        <v>Altair Engineering Inc</v>
      </c>
      <c r="C86">
        <v>2.4731684554363E-2</v>
      </c>
      <c r="D86">
        <v>0.18446601941747501</v>
      </c>
      <c r="E86">
        <v>0.43929215140095002</v>
      </c>
      <c r="F86">
        <v>4.3850267379679002E-2</v>
      </c>
      <c r="G86">
        <v>0.58099352051835806</v>
      </c>
      <c r="H86">
        <v>0.49667745782927197</v>
      </c>
      <c r="I86">
        <v>1.5736888368004689</v>
      </c>
    </row>
    <row r="87" spans="1:9" x14ac:dyDescent="0.2">
      <c r="A87" s="1" t="s">
        <v>87</v>
      </c>
      <c r="B87" t="str">
        <f>HYPERLINK("https://www.suredividend.com/sure-analysis-research-database/","AlloVir Inc")</f>
        <v>AlloVir Inc</v>
      </c>
      <c r="C87">
        <v>3.4999999999998997E-2</v>
      </c>
      <c r="D87">
        <v>-0.5708536585365851</v>
      </c>
      <c r="E87">
        <v>-0.75218309859154908</v>
      </c>
      <c r="F87">
        <v>3.5304501323918012E-2</v>
      </c>
      <c r="G87">
        <v>-0.89858789625360203</v>
      </c>
      <c r="H87">
        <v>-0.91720000000000002</v>
      </c>
      <c r="I87">
        <v>-0.97228042536431603</v>
      </c>
    </row>
    <row r="88" spans="1:9" x14ac:dyDescent="0.2">
      <c r="A88" s="1" t="s">
        <v>88</v>
      </c>
      <c r="B88" t="str">
        <f>HYPERLINK("https://www.suredividend.com/sure-analysis-research-database/","Alexander`s Inc.")</f>
        <v>Alexander`s Inc.</v>
      </c>
      <c r="C88">
        <v>1.0269118574941999E-2</v>
      </c>
      <c r="D88">
        <v>0.184462188982186</v>
      </c>
      <c r="E88">
        <v>0.26041240630046403</v>
      </c>
      <c r="F88">
        <v>5.5018427967154997E-2</v>
      </c>
      <c r="G88">
        <v>7.4884878934377008E-2</v>
      </c>
      <c r="H88">
        <v>8.092662768002001E-3</v>
      </c>
      <c r="I88">
        <v>-0.157068156700785</v>
      </c>
    </row>
    <row r="89" spans="1:9" x14ac:dyDescent="0.2">
      <c r="A89" s="1" t="s">
        <v>89</v>
      </c>
      <c r="B89" t="str">
        <f>HYPERLINK("https://www.suredividend.com/sure-analysis-research-database/","Alx Oncology Holdings Inc")</f>
        <v>Alx Oncology Holdings Inc</v>
      </c>
      <c r="C89">
        <v>0.220886551465063</v>
      </c>
      <c r="D89">
        <v>0.65816326530612201</v>
      </c>
      <c r="E89">
        <v>2.450106157112526</v>
      </c>
      <c r="F89">
        <v>9.1336467427803006E-2</v>
      </c>
      <c r="G89">
        <v>1.12696335078534</v>
      </c>
      <c r="H89">
        <v>8.333333333333301E-2</v>
      </c>
      <c r="I89">
        <v>-0.45833333333333298</v>
      </c>
    </row>
    <row r="90" spans="1:9" x14ac:dyDescent="0.2">
      <c r="A90" s="1" t="s">
        <v>90</v>
      </c>
      <c r="B90" t="str">
        <f>HYPERLINK("https://www.suredividend.com/sure-analysis-research-database/","Amalgamated Financial Corp")</f>
        <v>Amalgamated Financial Corp</v>
      </c>
      <c r="C90">
        <v>-4.4995191473931002E-2</v>
      </c>
      <c r="D90">
        <v>0.15404033187589899</v>
      </c>
      <c r="E90">
        <v>0.32006908161764303</v>
      </c>
      <c r="F90">
        <v>-9.3561782200441007E-2</v>
      </c>
      <c r="G90">
        <v>3.4161914842762001E-2</v>
      </c>
      <c r="H90">
        <v>0.49273040906850601</v>
      </c>
      <c r="I90">
        <v>0.43388053165425899</v>
      </c>
    </row>
    <row r="91" spans="1:9" x14ac:dyDescent="0.2">
      <c r="A91" s="1" t="s">
        <v>91</v>
      </c>
      <c r="B91" t="str">
        <f>HYPERLINK("https://www.suredividend.com/sure-analysis-research-database/","Ambarella Inc")</f>
        <v>Ambarella Inc</v>
      </c>
      <c r="C91">
        <v>-2.6556612237573E-2</v>
      </c>
      <c r="D91">
        <v>-2.6381909547737999E-2</v>
      </c>
      <c r="E91">
        <v>-0.20442880187710799</v>
      </c>
      <c r="F91">
        <v>-0.114863762440854</v>
      </c>
      <c r="G91">
        <v>-0.41741838487972499</v>
      </c>
      <c r="H91">
        <v>-0.59740259740259705</v>
      </c>
      <c r="I91">
        <v>0.362038664323374</v>
      </c>
    </row>
    <row r="92" spans="1:9" x14ac:dyDescent="0.2">
      <c r="A92" s="1" t="s">
        <v>92</v>
      </c>
      <c r="B92" t="str">
        <f>HYPERLINK("https://www.suredividend.com/sure-analysis-research-database/","AMBAC Financial Group Inc.")</f>
        <v>AMBAC Financial Group Inc.</v>
      </c>
      <c r="C92">
        <v>2.0253164556962001E-2</v>
      </c>
      <c r="D92">
        <v>9.6598639455782009E-2</v>
      </c>
      <c r="E92">
        <v>0.19584569732937601</v>
      </c>
      <c r="F92">
        <v>-2.1844660194174002E-2</v>
      </c>
      <c r="G92">
        <v>-1.857585139318E-3</v>
      </c>
      <c r="H92">
        <v>8.9925625422582006E-2</v>
      </c>
      <c r="I92">
        <v>-0.19800995024875601</v>
      </c>
    </row>
    <row r="93" spans="1:9" x14ac:dyDescent="0.2">
      <c r="A93" s="1" t="s">
        <v>93</v>
      </c>
      <c r="B93" t="str">
        <f>HYPERLINK("https://www.suredividend.com/sure-analysis-research-database/","AMC Networks Inc")</f>
        <v>AMC Networks Inc</v>
      </c>
      <c r="C93">
        <v>-0.248443689869836</v>
      </c>
      <c r="D93">
        <v>-0.152520740268028</v>
      </c>
      <c r="E93">
        <v>0.16798592788038699</v>
      </c>
      <c r="F93">
        <v>-0.29324108568387403</v>
      </c>
      <c r="G93">
        <v>-0.51050497604128209</v>
      </c>
      <c r="H93">
        <v>-0.65506493506493502</v>
      </c>
      <c r="I93">
        <v>-0.79414044334211709</v>
      </c>
    </row>
    <row r="94" spans="1:9" x14ac:dyDescent="0.2">
      <c r="A94" s="1" t="s">
        <v>94</v>
      </c>
      <c r="B94" t="str">
        <f>HYPERLINK("https://www.suredividend.com/sure-analysis-research-database/","Apollo Medical Holdings Inc")</f>
        <v>Apollo Medical Holdings Inc</v>
      </c>
      <c r="C94">
        <v>0.114074914869466</v>
      </c>
      <c r="D94">
        <v>0.151995305164319</v>
      </c>
      <c r="E94">
        <v>4.1103155661627998E-2</v>
      </c>
      <c r="F94">
        <v>2.5065274151436001E-2</v>
      </c>
      <c r="G94">
        <v>0.139291932675565</v>
      </c>
      <c r="H94">
        <v>-0.27791061247011201</v>
      </c>
      <c r="I94">
        <v>1.0040837161817251</v>
      </c>
    </row>
    <row r="95" spans="1:9" x14ac:dyDescent="0.2">
      <c r="A95" s="1" t="s">
        <v>95</v>
      </c>
      <c r="B95" t="str">
        <f>HYPERLINK("https://www.suredividend.com/sure-analysis-research-database/","Assetmark Financial Holdings Inc")</f>
        <v>Assetmark Financial Holdings Inc</v>
      </c>
      <c r="C95">
        <v>8.2751744765702004E-2</v>
      </c>
      <c r="D95">
        <v>0.29029702970297</v>
      </c>
      <c r="E95">
        <v>0.163156015708675</v>
      </c>
      <c r="F95">
        <v>8.7813021702838001E-2</v>
      </c>
      <c r="G95">
        <v>0.185158239359767</v>
      </c>
      <c r="H95">
        <v>0.38343949044585901</v>
      </c>
      <c r="I95">
        <v>0.204881656804733</v>
      </c>
    </row>
    <row r="96" spans="1:9" x14ac:dyDescent="0.2">
      <c r="A96" s="1" t="s">
        <v>96</v>
      </c>
      <c r="B96" t="str">
        <f>HYPERLINK("https://www.suredividend.com/sure-analysis-research-database/","AMKOR Technology Inc.")</f>
        <v>AMKOR Technology Inc.</v>
      </c>
      <c r="C96">
        <v>-8.8262335274287007E-2</v>
      </c>
      <c r="D96">
        <v>0.10469952173008901</v>
      </c>
      <c r="E96">
        <v>0.19267158434894099</v>
      </c>
      <c r="F96">
        <v>-0.105801021941689</v>
      </c>
      <c r="G96">
        <v>0.13485512000854399</v>
      </c>
      <c r="H96">
        <v>0.29511122719951199</v>
      </c>
      <c r="I96">
        <v>2.2398584263544778</v>
      </c>
    </row>
    <row r="97" spans="1:9" x14ac:dyDescent="0.2">
      <c r="A97" s="1" t="s">
        <v>97</v>
      </c>
      <c r="B97" t="str">
        <f>HYPERLINK("https://www.suredividend.com/sure-analysis-research-database/","Amylyx Pharmaceuticals Inc")</f>
        <v>Amylyx Pharmaceuticals Inc</v>
      </c>
      <c r="C97">
        <v>-6.6622251832110001E-3</v>
      </c>
      <c r="D97">
        <v>0.154918667699457</v>
      </c>
      <c r="E97">
        <v>-0.26261127596439099</v>
      </c>
      <c r="F97">
        <v>1.2907608695652001E-2</v>
      </c>
      <c r="G97">
        <v>-0.59843792081874403</v>
      </c>
      <c r="H97">
        <v>-0.43714609286523198</v>
      </c>
      <c r="I97">
        <v>-0.174875484228002</v>
      </c>
    </row>
    <row r="98" spans="1:9" x14ac:dyDescent="0.2">
      <c r="A98" s="1" t="s">
        <v>98</v>
      </c>
      <c r="B98" t="str">
        <f>HYPERLINK("https://www.suredividend.com/sure-analysis-research-database/","AMN Healthcare Services Inc.")</f>
        <v>AMN Healthcare Services Inc.</v>
      </c>
      <c r="C98">
        <v>-0.216740800646987</v>
      </c>
      <c r="D98">
        <v>-0.13255709807433899</v>
      </c>
      <c r="E98">
        <v>-0.34825033647375497</v>
      </c>
      <c r="F98">
        <v>-0.22395833333333301</v>
      </c>
      <c r="G98">
        <v>-0.37178378378378302</v>
      </c>
      <c r="H98">
        <v>-0.44472049689441001</v>
      </c>
      <c r="I98">
        <v>8.5154061624650002E-2</v>
      </c>
    </row>
    <row r="99" spans="1:9" x14ac:dyDescent="0.2">
      <c r="A99" s="1" t="s">
        <v>99</v>
      </c>
      <c r="B99" t="str">
        <f>HYPERLINK("https://www.suredividend.com/sure-analysis-research-database/","American National Bankshares Inc.")</f>
        <v>American National Bankshares Inc.</v>
      </c>
      <c r="C99">
        <v>-2.9849942368389001E-2</v>
      </c>
      <c r="D99">
        <v>7.4596519195019001E-2</v>
      </c>
      <c r="E99">
        <v>0.17450364636042101</v>
      </c>
      <c r="F99">
        <v>-6.4078315631949004E-2</v>
      </c>
      <c r="G99">
        <v>0.41962698142473398</v>
      </c>
      <c r="H99">
        <v>0.28556868499713101</v>
      </c>
      <c r="I99">
        <v>0.57472329562343705</v>
      </c>
    </row>
    <row r="100" spans="1:9" x14ac:dyDescent="0.2">
      <c r="A100" s="1" t="s">
        <v>100</v>
      </c>
      <c r="B100" t="str">
        <f>HYPERLINK("https://www.suredividend.com/sure-analysis-research-database/","Amphastar Pharmaceuticals Inc")</f>
        <v>Amphastar Pharmaceuticals Inc</v>
      </c>
      <c r="C100">
        <v>-4.7056686046510997E-2</v>
      </c>
      <c r="D100">
        <v>-7.3157801731753999E-2</v>
      </c>
      <c r="E100">
        <v>-7.9440136183080001E-3</v>
      </c>
      <c r="F100">
        <v>-0.151980598221503</v>
      </c>
      <c r="G100">
        <v>0.61932695276319805</v>
      </c>
      <c r="H100">
        <v>1.0011446012972141</v>
      </c>
      <c r="I100">
        <v>1.1312474603819589</v>
      </c>
    </row>
    <row r="101" spans="1:9" x14ac:dyDescent="0.2">
      <c r="A101" s="1" t="s">
        <v>101</v>
      </c>
      <c r="B101" t="str">
        <f>HYPERLINK("https://www.suredividend.com/sure-analysis-research-database/","Amplitude Inc")</f>
        <v>Amplitude Inc</v>
      </c>
      <c r="C101">
        <v>0.13834951456310601</v>
      </c>
      <c r="D101">
        <v>0.32361241768579402</v>
      </c>
      <c r="E101">
        <v>0.22989510489510501</v>
      </c>
      <c r="F101">
        <v>0.10613207547169801</v>
      </c>
      <c r="G101">
        <v>-3.099173553719E-2</v>
      </c>
      <c r="H101">
        <v>-0.318973862536302</v>
      </c>
      <c r="I101">
        <v>-0.7432481751824811</v>
      </c>
    </row>
    <row r="102" spans="1:9" x14ac:dyDescent="0.2">
      <c r="A102" s="1" t="s">
        <v>102</v>
      </c>
      <c r="B102" t="str">
        <f>HYPERLINK("https://www.suredividend.com/sure-analysis-research-database/","Altus Power Inc")</f>
        <v>Altus Power Inc</v>
      </c>
      <c r="C102">
        <v>0.28961748633879703</v>
      </c>
      <c r="D102">
        <v>0.33837429111531098</v>
      </c>
      <c r="E102">
        <v>0.122028526148969</v>
      </c>
      <c r="F102">
        <v>3.6603221083455012E-2</v>
      </c>
      <c r="G102">
        <v>-2.2099447513812001E-2</v>
      </c>
      <c r="H102">
        <v>4.8888888888888003E-2</v>
      </c>
      <c r="I102">
        <v>-0.85985720478464911</v>
      </c>
    </row>
    <row r="103" spans="1:9" x14ac:dyDescent="0.2">
      <c r="A103" s="1" t="s">
        <v>103</v>
      </c>
      <c r="B103" t="str">
        <f>HYPERLINK("https://www.suredividend.com/sure-analysis-research-database/","Amprius Technologies Inc")</f>
        <v>Amprius Technologies Inc</v>
      </c>
      <c r="C103">
        <v>-9.0277777777777013E-2</v>
      </c>
      <c r="D103">
        <v>3.4210526315788997E-2</v>
      </c>
      <c r="E103">
        <v>-0.29061371841155198</v>
      </c>
      <c r="F103">
        <v>-0.257088846880907</v>
      </c>
      <c r="G103">
        <v>-0.36714975845410602</v>
      </c>
      <c r="H103">
        <v>-0.60699606996069899</v>
      </c>
      <c r="I103">
        <v>-0.60699606996069899</v>
      </c>
    </row>
    <row r="104" spans="1:9" x14ac:dyDescent="0.2">
      <c r="A104" s="1" t="s">
        <v>104</v>
      </c>
      <c r="B104" t="str">
        <f>HYPERLINK("https://www.suredividend.com/sure-analysis-research-database/","Amplify Energy Corp.")</f>
        <v>Amplify Energy Corp.</v>
      </c>
      <c r="C104">
        <v>5.5846422338568007E-2</v>
      </c>
      <c r="D104">
        <v>-1.7857142857141999E-2</v>
      </c>
      <c r="E104">
        <v>-8.7481146304675003E-2</v>
      </c>
      <c r="F104">
        <v>2.0236087689712998E-2</v>
      </c>
      <c r="G104">
        <v>-0.25675675675675602</v>
      </c>
      <c r="H104">
        <v>0.27637130801687698</v>
      </c>
      <c r="I104">
        <v>-0.341675734494015</v>
      </c>
    </row>
    <row r="105" spans="1:9" x14ac:dyDescent="0.2">
      <c r="A105" s="1" t="s">
        <v>105</v>
      </c>
      <c r="B105" t="str">
        <f>HYPERLINK("https://www.suredividend.com/sure-analysis-research-database/","Alpha Metallurgical Resources Inc")</f>
        <v>Alpha Metallurgical Resources Inc</v>
      </c>
      <c r="C105">
        <v>-9.4618098693037E-2</v>
      </c>
      <c r="D105">
        <v>0.40557988753200702</v>
      </c>
      <c r="E105">
        <v>0.86711881707123906</v>
      </c>
      <c r="F105">
        <v>7.5120972500885008E-2</v>
      </c>
      <c r="G105">
        <v>1.1650237963672661</v>
      </c>
      <c r="H105">
        <v>3.28457034947504</v>
      </c>
      <c r="I105">
        <v>4.749132218365415</v>
      </c>
    </row>
    <row r="106" spans="1:9" x14ac:dyDescent="0.2">
      <c r="A106" s="1" t="s">
        <v>106</v>
      </c>
      <c r="B106" t="str">
        <f>HYPERLINK("https://www.suredividend.com/sure-analysis-research-database/","Ameresco Inc.")</f>
        <v>Ameresco Inc.</v>
      </c>
      <c r="C106">
        <v>4.2837402118838998E-2</v>
      </c>
      <c r="D106">
        <v>-0.22730375426621099</v>
      </c>
      <c r="E106">
        <v>-0.52256431885280408</v>
      </c>
      <c r="F106">
        <v>-0.28512788127565503</v>
      </c>
      <c r="G106">
        <v>-0.589855072463768</v>
      </c>
      <c r="H106">
        <v>-0.57753312185109107</v>
      </c>
      <c r="I106">
        <v>0.39494762784966098</v>
      </c>
    </row>
    <row r="107" spans="1:9" x14ac:dyDescent="0.2">
      <c r="A107" s="1" t="s">
        <v>107</v>
      </c>
      <c r="B107" t="str">
        <f>HYPERLINK("https://www.suredividend.com/sure-analysis-research-database/","A-Mark Precious Metals Inc")</f>
        <v>A-Mark Precious Metals Inc</v>
      </c>
      <c r="C107">
        <v>-7.0854638422205005E-2</v>
      </c>
      <c r="D107">
        <v>-4.9135475768652001E-2</v>
      </c>
      <c r="E107">
        <v>-0.21212534144332201</v>
      </c>
      <c r="F107">
        <v>-0.152866899539471</v>
      </c>
      <c r="G107">
        <v>-0.13389552955275</v>
      </c>
      <c r="H107">
        <v>-0.16619688765945101</v>
      </c>
      <c r="I107">
        <v>4.2848061822260997</v>
      </c>
    </row>
    <row r="108" spans="1:9" x14ac:dyDescent="0.2">
      <c r="A108" s="1" t="s">
        <v>108</v>
      </c>
      <c r="B108" t="str">
        <f>HYPERLINK("https://www.suredividend.com/sure-analysis-research-database/","Amneal Pharmaceuticals Inc")</f>
        <v>Amneal Pharmaceuticals Inc</v>
      </c>
      <c r="C108">
        <v>7.037037037037E-2</v>
      </c>
      <c r="D108">
        <v>0.28730512249443202</v>
      </c>
      <c r="E108">
        <v>0.54959785522788207</v>
      </c>
      <c r="F108">
        <v>-4.7775947281713013E-2</v>
      </c>
      <c r="G108">
        <v>1.3786008230452671</v>
      </c>
      <c r="H108">
        <v>0.24838012958963199</v>
      </c>
      <c r="I108">
        <v>-0.57089829250185609</v>
      </c>
    </row>
    <row r="109" spans="1:9" x14ac:dyDescent="0.2">
      <c r="A109" s="1" t="s">
        <v>109</v>
      </c>
      <c r="B109" t="str">
        <f>HYPERLINK("https://www.suredividend.com/sure-analysis-research-database/","Amerisafe Inc")</f>
        <v>Amerisafe Inc</v>
      </c>
      <c r="C109">
        <v>4.3096234309622998E-2</v>
      </c>
      <c r="D109">
        <v>0.14278118009461199</v>
      </c>
      <c r="E109">
        <v>9.9613613507648011E-2</v>
      </c>
      <c r="F109">
        <v>6.5840102607952006E-2</v>
      </c>
      <c r="G109">
        <v>6.4802159502494003E-2</v>
      </c>
      <c r="H109">
        <v>0.146881843107667</v>
      </c>
      <c r="I109">
        <v>0.19519620298679199</v>
      </c>
    </row>
    <row r="110" spans="1:9" x14ac:dyDescent="0.2">
      <c r="A110" s="1" t="s">
        <v>110</v>
      </c>
      <c r="B110" t="str">
        <f>HYPERLINK("https://www.suredividend.com/sure-analysis-research-database/","American Software Inc.")</f>
        <v>American Software Inc.</v>
      </c>
      <c r="C110">
        <v>-5.9599201873861002E-2</v>
      </c>
      <c r="D110">
        <v>0.13668536674880699</v>
      </c>
      <c r="E110">
        <v>2.8102089399356999E-2</v>
      </c>
      <c r="F110">
        <v>-3.1303897125188003E-2</v>
      </c>
      <c r="G110">
        <v>-0.22496693239909901</v>
      </c>
      <c r="H110">
        <v>-0.42420669067576011</v>
      </c>
      <c r="I110">
        <v>9.1322775825791014E-2</v>
      </c>
    </row>
    <row r="111" spans="1:9" x14ac:dyDescent="0.2">
      <c r="A111" s="1" t="s">
        <v>111</v>
      </c>
      <c r="B111" t="str">
        <f>HYPERLINK("https://www.suredividend.com/sure-analysis-research-database/","Amerant Bancorp Inc")</f>
        <v>Amerant Bancorp Inc</v>
      </c>
      <c r="C111">
        <v>-4.4004300685259012E-2</v>
      </c>
      <c r="D111">
        <v>6.0441323683668002E-2</v>
      </c>
      <c r="E111">
        <v>0.13532639351828099</v>
      </c>
      <c r="F111">
        <v>-9.5366511399852014E-2</v>
      </c>
      <c r="G111">
        <v>-0.22273244302144299</v>
      </c>
      <c r="H111">
        <v>-0.30584948785236599</v>
      </c>
      <c r="I111">
        <v>0.49818309773377811</v>
      </c>
    </row>
    <row r="112" spans="1:9" x14ac:dyDescent="0.2">
      <c r="A112" s="1" t="s">
        <v>112</v>
      </c>
      <c r="B112" t="str">
        <f>HYPERLINK("https://www.suredividend.com/sure-analysis-research-database/","American Woodmark Corp.")</f>
        <v>American Woodmark Corp.</v>
      </c>
      <c r="C112">
        <v>-9.4248168892710014E-3</v>
      </c>
      <c r="D112">
        <v>0.239086499595796</v>
      </c>
      <c r="E112">
        <v>0.25275847977114801</v>
      </c>
      <c r="F112">
        <v>-9.531502423263E-3</v>
      </c>
      <c r="G112">
        <v>0.57097710966860205</v>
      </c>
      <c r="H112">
        <v>0.70779944289693508</v>
      </c>
      <c r="I112">
        <v>0.102830075548626</v>
      </c>
    </row>
    <row r="113" spans="1:9" x14ac:dyDescent="0.2">
      <c r="A113" s="1" t="s">
        <v>113</v>
      </c>
      <c r="B113" t="str">
        <f>HYPERLINK("https://www.suredividend.com/sure-analysis-research-database/","American Well Corporation")</f>
        <v>American Well Corporation</v>
      </c>
      <c r="C113">
        <v>0.155963302752293</v>
      </c>
      <c r="D113">
        <v>-9.9999999999999006E-2</v>
      </c>
      <c r="E113">
        <v>-4.5454545454544998E-2</v>
      </c>
      <c r="F113">
        <v>-0.15436241610738199</v>
      </c>
      <c r="G113">
        <v>-0.6657824933687001</v>
      </c>
      <c r="H113">
        <v>-0.67357512953367804</v>
      </c>
      <c r="I113">
        <v>-0.94538361508452506</v>
      </c>
    </row>
    <row r="114" spans="1:9" x14ac:dyDescent="0.2">
      <c r="A114" s="1" t="s">
        <v>114</v>
      </c>
      <c r="B114" t="str">
        <f>HYPERLINK("https://www.suredividend.com/sure-analysis-research-database/","AnaptysBio Inc")</f>
        <v>AnaptysBio Inc</v>
      </c>
      <c r="C114">
        <v>1.5338730293991999E-2</v>
      </c>
      <c r="D114">
        <v>0.642315644383183</v>
      </c>
      <c r="E114">
        <v>0.21519632840387501</v>
      </c>
      <c r="F114">
        <v>0.1125116713352</v>
      </c>
      <c r="G114">
        <v>-0.11708040014820301</v>
      </c>
      <c r="H114">
        <v>-0.205666666666666</v>
      </c>
      <c r="I114">
        <v>-0.63355374442564905</v>
      </c>
    </row>
    <row r="115" spans="1:9" x14ac:dyDescent="0.2">
      <c r="A115" s="1" t="s">
        <v>115</v>
      </c>
      <c r="B115" t="str">
        <f>HYPERLINK("https://www.suredividend.com/sure-analysis-ANDE/","Andersons Inc.")</f>
        <v>Andersons Inc.</v>
      </c>
      <c r="C115">
        <v>9.2785457299750015E-3</v>
      </c>
      <c r="D115">
        <v>4.1330871650597012E-2</v>
      </c>
      <c r="E115">
        <v>4.5259952031784997E-2</v>
      </c>
      <c r="F115">
        <v>-7.3687869308307008E-2</v>
      </c>
      <c r="G115">
        <v>0.21027988573867901</v>
      </c>
      <c r="H115">
        <v>0.42712938146124102</v>
      </c>
      <c r="I115">
        <v>0.64275477338922105</v>
      </c>
    </row>
    <row r="116" spans="1:9" x14ac:dyDescent="0.2">
      <c r="A116" s="1" t="s">
        <v>116</v>
      </c>
      <c r="B116" t="str">
        <f>HYPERLINK("https://www.suredividend.com/sure-analysis-research-database/","Abercrombie &amp; Fitch Co.")</f>
        <v>Abercrombie &amp; Fitch Co.</v>
      </c>
      <c r="C116">
        <v>0.15112253980812901</v>
      </c>
      <c r="D116">
        <v>0.6100428828330331</v>
      </c>
      <c r="E116">
        <v>1.694212962962963</v>
      </c>
      <c r="F116">
        <v>0.31931534799365202</v>
      </c>
      <c r="G116">
        <v>2.7316447579352361</v>
      </c>
      <c r="H116">
        <v>1.9698902781321761</v>
      </c>
      <c r="I116">
        <v>5.0209302205277559</v>
      </c>
    </row>
    <row r="117" spans="1:9" x14ac:dyDescent="0.2">
      <c r="A117" s="1" t="s">
        <v>117</v>
      </c>
      <c r="B117" t="str">
        <f>HYPERLINK("https://www.suredividend.com/sure-analysis-research-database/","Angiodynamic Inc")</f>
        <v>Angiodynamic Inc</v>
      </c>
      <c r="C117">
        <v>3.7606837606837001E-2</v>
      </c>
      <c r="D117">
        <v>-0.116448326055312</v>
      </c>
      <c r="E117">
        <v>-0.295005807200929</v>
      </c>
      <c r="F117">
        <v>-0.225765306122448</v>
      </c>
      <c r="G117">
        <v>-0.54223227752639502</v>
      </c>
      <c r="H117">
        <v>-0.71313799621928109</v>
      </c>
      <c r="I117">
        <v>-0.74104095563139905</v>
      </c>
    </row>
    <row r="118" spans="1:9" x14ac:dyDescent="0.2">
      <c r="A118" s="1" t="s">
        <v>118</v>
      </c>
      <c r="B118" t="str">
        <f>HYPERLINK("https://www.suredividend.com/sure-analysis-research-database/","Anika Therapeutics Inc.")</f>
        <v>Anika Therapeutics Inc.</v>
      </c>
      <c r="C118">
        <v>9.0377697841726001E-2</v>
      </c>
      <c r="D118">
        <v>0.17661329451722399</v>
      </c>
      <c r="E118">
        <v>0.28920786815523603</v>
      </c>
      <c r="F118">
        <v>7.0167696381288003E-2</v>
      </c>
      <c r="G118">
        <v>-0.20673863264638501</v>
      </c>
      <c r="H118">
        <v>-0.203612479474548</v>
      </c>
      <c r="I118">
        <v>-0.39450686641697802</v>
      </c>
    </row>
    <row r="119" spans="1:9" x14ac:dyDescent="0.2">
      <c r="A119" s="1" t="s">
        <v>119</v>
      </c>
      <c r="B119" t="str">
        <f>HYPERLINK("https://www.suredividend.com/sure-analysis-research-database/","ANI Pharmaceuticals Inc")</f>
        <v>ANI Pharmaceuticals Inc</v>
      </c>
      <c r="C119">
        <v>5.3419960295974997E-2</v>
      </c>
      <c r="D119">
        <v>0.137816764132553</v>
      </c>
      <c r="E119">
        <v>-2.2114256994471001E-2</v>
      </c>
      <c r="F119">
        <v>5.8578164671744003E-2</v>
      </c>
      <c r="G119">
        <v>0.35492107706592302</v>
      </c>
      <c r="H119">
        <v>0.56027800053461607</v>
      </c>
      <c r="I119">
        <v>-4.0755957271980003E-2</v>
      </c>
    </row>
    <row r="120" spans="1:9" x14ac:dyDescent="0.2">
      <c r="A120" s="1" t="s">
        <v>120</v>
      </c>
      <c r="B120" t="str">
        <f>HYPERLINK("https://www.suredividend.com/sure-analysis-research-database/","Annexon Inc")</f>
        <v>Annexon Inc</v>
      </c>
      <c r="C120">
        <v>0.19585253456221199</v>
      </c>
      <c r="D120">
        <v>1.011627906976744</v>
      </c>
      <c r="E120">
        <v>0.77133105802047708</v>
      </c>
      <c r="F120">
        <v>0.14317180616740099</v>
      </c>
      <c r="G120">
        <v>-0.127731092436974</v>
      </c>
      <c r="H120">
        <v>-0.15472312703582999</v>
      </c>
      <c r="I120">
        <v>-0.70777027027027006</v>
      </c>
    </row>
    <row r="121" spans="1:9" x14ac:dyDescent="0.2">
      <c r="A121" s="1" t="s">
        <v>121</v>
      </c>
      <c r="B121" t="str">
        <f>HYPERLINK("https://www.suredividend.com/sure-analysis-research-database/","Angel Oak Mortgage REIT Inc")</f>
        <v>Angel Oak Mortgage REIT Inc</v>
      </c>
      <c r="C121">
        <v>7.2761641574791008E-2</v>
      </c>
      <c r="D121">
        <v>0.13188826906138301</v>
      </c>
      <c r="E121">
        <v>0.256589225702757</v>
      </c>
      <c r="F121">
        <v>8.4910237748665005E-2</v>
      </c>
      <c r="G121">
        <v>0.85726626353910507</v>
      </c>
      <c r="H121">
        <v>-0.103469844350176</v>
      </c>
      <c r="I121">
        <v>-0.167020571164606</v>
      </c>
    </row>
    <row r="122" spans="1:9" x14ac:dyDescent="0.2">
      <c r="A122" s="1" t="s">
        <v>122</v>
      </c>
      <c r="B122" t="str">
        <f>HYPERLINK("https://www.suredividend.com/sure-analysis-research-database/","Artivion Inc")</f>
        <v>Artivion Inc</v>
      </c>
      <c r="C122">
        <v>2.5219298245613999E-2</v>
      </c>
      <c r="D122">
        <v>0.32436260623229402</v>
      </c>
      <c r="E122">
        <v>0.164383561643835</v>
      </c>
      <c r="F122">
        <v>4.5861297539149012E-2</v>
      </c>
      <c r="G122">
        <v>0.33954154727793601</v>
      </c>
      <c r="H122">
        <v>5.3521126760562997E-2</v>
      </c>
      <c r="I122">
        <v>-0.370582295523392</v>
      </c>
    </row>
    <row r="123" spans="1:9" x14ac:dyDescent="0.2">
      <c r="A123" s="1" t="s">
        <v>123</v>
      </c>
      <c r="B123" t="str">
        <f>HYPERLINK("https://www.suredividend.com/sure-analysis-research-database/","Alpha &amp; Omega Semiconductor Ltd")</f>
        <v>Alpha &amp; Omega Semiconductor Ltd</v>
      </c>
      <c r="C123">
        <v>-0.19281045751633899</v>
      </c>
      <c r="D123">
        <v>-1.1120996441281001E-2</v>
      </c>
      <c r="E123">
        <v>-0.28267182962245802</v>
      </c>
      <c r="F123">
        <v>-0.14696853415195699</v>
      </c>
      <c r="G123">
        <v>-0.22489539748953899</v>
      </c>
      <c r="H123">
        <v>-0.57993197278911501</v>
      </c>
      <c r="I123">
        <v>0.95171202809482003</v>
      </c>
    </row>
    <row r="124" spans="1:9" x14ac:dyDescent="0.2">
      <c r="A124" s="1" t="s">
        <v>124</v>
      </c>
      <c r="B124" t="str">
        <f>HYPERLINK("https://www.suredividend.com/sure-analysis-APAM/","Artisan Partners Asset Management Inc")</f>
        <v>Artisan Partners Asset Management Inc</v>
      </c>
      <c r="C124">
        <v>1.046101681854E-2</v>
      </c>
      <c r="D124">
        <v>0.130019578747229</v>
      </c>
      <c r="E124">
        <v>0.17096476222103699</v>
      </c>
      <c r="F124">
        <v>-4.2372069033197013E-2</v>
      </c>
      <c r="G124">
        <v>0.25290757567161598</v>
      </c>
      <c r="H124">
        <v>0.21762951097491601</v>
      </c>
      <c r="I124">
        <v>1.322594929702203</v>
      </c>
    </row>
    <row r="125" spans="1:9" x14ac:dyDescent="0.2">
      <c r="A125" s="1" t="s">
        <v>125</v>
      </c>
      <c r="B125" t="str">
        <f>HYPERLINK("https://www.suredividend.com/sure-analysis-research-database/","APi Group Corporation")</f>
        <v>APi Group Corporation</v>
      </c>
      <c r="C125">
        <v>8.6888331242158001E-2</v>
      </c>
      <c r="D125">
        <v>0.168634064080944</v>
      </c>
      <c r="E125">
        <v>0.24060150375939801</v>
      </c>
      <c r="F125">
        <v>1.445086705202E-3</v>
      </c>
      <c r="G125">
        <v>0.570716228467815</v>
      </c>
      <c r="H125">
        <v>0.65236051502145909</v>
      </c>
      <c r="I125">
        <v>2.3317307692307692</v>
      </c>
    </row>
    <row r="126" spans="1:9" x14ac:dyDescent="0.2">
      <c r="A126" s="1" t="s">
        <v>126</v>
      </c>
      <c r="B126" t="str">
        <f>HYPERLINK("https://www.suredividend.com/sure-analysis-research-database/","Apogee Therapeutics Inc.")</f>
        <v>Apogee Therapeutics Inc.</v>
      </c>
      <c r="C126">
        <v>2.4042742653606002E-2</v>
      </c>
      <c r="D126">
        <v>0.91453940066592609</v>
      </c>
      <c r="E126">
        <v>0.42326732673267298</v>
      </c>
      <c r="F126">
        <v>0.23478883321402999</v>
      </c>
      <c r="G126">
        <v>0.6250588789448891</v>
      </c>
      <c r="H126">
        <v>0.6250588789448891</v>
      </c>
      <c r="I126">
        <v>0.6250588789448891</v>
      </c>
    </row>
    <row r="127" spans="1:9" x14ac:dyDescent="0.2">
      <c r="A127" s="1" t="s">
        <v>127</v>
      </c>
      <c r="B127" t="str">
        <f>HYPERLINK("https://www.suredividend.com/sure-analysis-research-database/","Applied Digital Corporation")</f>
        <v>Applied Digital Corporation</v>
      </c>
      <c r="C127">
        <v>-2.6748971193414999E-2</v>
      </c>
      <c r="D127">
        <v>7.7448747152618999E-2</v>
      </c>
      <c r="E127">
        <v>-0.211666666666666</v>
      </c>
      <c r="F127">
        <v>-0.29821958456973202</v>
      </c>
      <c r="G127">
        <v>0.51118210862619806</v>
      </c>
      <c r="H127">
        <v>945</v>
      </c>
      <c r="I127">
        <v>945</v>
      </c>
    </row>
    <row r="128" spans="1:9" x14ac:dyDescent="0.2">
      <c r="A128" s="1" t="s">
        <v>128</v>
      </c>
      <c r="B128" t="str">
        <f>HYPERLINK("https://www.suredividend.com/sure-analysis-APLE/","Apple Hospitality REIT Inc")</f>
        <v>Apple Hospitality REIT Inc</v>
      </c>
      <c r="C128">
        <v>-3.1118689482978999E-2</v>
      </c>
      <c r="D128">
        <v>-2.4195774172774E-2</v>
      </c>
      <c r="E128">
        <v>0.11474674719561601</v>
      </c>
      <c r="F128">
        <v>-3.7530852247979002E-2</v>
      </c>
      <c r="G128">
        <v>-4.6856721030470007E-3</v>
      </c>
      <c r="H128">
        <v>1.3885968098597001E-2</v>
      </c>
      <c r="I128">
        <v>0.155955970501689</v>
      </c>
    </row>
    <row r="129" spans="1:9" x14ac:dyDescent="0.2">
      <c r="A129" s="1" t="s">
        <v>129</v>
      </c>
      <c r="B129" t="str">
        <f>HYPERLINK("https://www.suredividend.com/sure-analysis-APOG/","Apogee Enterprises Inc.")</f>
        <v>Apogee Enterprises Inc.</v>
      </c>
      <c r="C129">
        <v>2.4354354920861999E-2</v>
      </c>
      <c r="D129">
        <v>0.18135161418753201</v>
      </c>
      <c r="E129">
        <v>0.123251513183207</v>
      </c>
      <c r="F129">
        <v>2.6079036430529001E-2</v>
      </c>
      <c r="G129">
        <v>0.18519359253349801</v>
      </c>
      <c r="H129">
        <v>0.26484680911528202</v>
      </c>
      <c r="I129">
        <v>0.67296725235925303</v>
      </c>
    </row>
    <row r="130" spans="1:9" x14ac:dyDescent="0.2">
      <c r="A130" s="1" t="s">
        <v>130</v>
      </c>
      <c r="B130" t="str">
        <f>HYPERLINK("https://www.suredividend.com/sure-analysis-research-database/","Appfolio Inc")</f>
        <v>Appfolio Inc</v>
      </c>
      <c r="C130">
        <v>0.31459977452085602</v>
      </c>
      <c r="D130">
        <v>0.16575856035990999</v>
      </c>
      <c r="E130">
        <v>0.39680162913272599</v>
      </c>
      <c r="F130">
        <v>0.34616716693604199</v>
      </c>
      <c r="G130">
        <v>0.77319038929440309</v>
      </c>
      <c r="H130">
        <v>1.0570697715445001</v>
      </c>
      <c r="I130">
        <v>2.4260320258557369</v>
      </c>
    </row>
    <row r="131" spans="1:9" x14ac:dyDescent="0.2">
      <c r="A131" s="1" t="s">
        <v>131</v>
      </c>
      <c r="B131" t="str">
        <f>HYPERLINK("https://www.suredividend.com/sure-analysis-research-database/","Appian Corp")</f>
        <v>Appian Corp</v>
      </c>
      <c r="C131">
        <v>0.12232226016764899</v>
      </c>
      <c r="D131">
        <v>-3.8563829787234001E-2</v>
      </c>
      <c r="E131">
        <v>-0.209663314385658</v>
      </c>
      <c r="F131">
        <v>-4.0095592140201003E-2</v>
      </c>
      <c r="G131">
        <v>-0.21344647519582199</v>
      </c>
      <c r="H131">
        <v>-0.350404312668463</v>
      </c>
      <c r="I131">
        <v>-5.6628392484341997E-2</v>
      </c>
    </row>
    <row r="132" spans="1:9" x14ac:dyDescent="0.2">
      <c r="A132" s="1" t="s">
        <v>132</v>
      </c>
      <c r="B132" t="str">
        <f>HYPERLINK("https://www.suredividend.com/sure-analysis-research-database/","Digital Turbine Inc")</f>
        <v>Digital Turbine Inc</v>
      </c>
      <c r="C132">
        <v>-0.33271028037383099</v>
      </c>
      <c r="D132">
        <v>-0.32641509433962201</v>
      </c>
      <c r="E132">
        <v>-0.60596026490066202</v>
      </c>
      <c r="F132">
        <v>-0.47959183673469402</v>
      </c>
      <c r="G132">
        <v>-0.71733966745843203</v>
      </c>
      <c r="H132">
        <v>-0.92330827067669108</v>
      </c>
      <c r="I132">
        <v>0.25263157894736799</v>
      </c>
    </row>
    <row r="133" spans="1:9" x14ac:dyDescent="0.2">
      <c r="A133" s="1" t="s">
        <v>133</v>
      </c>
      <c r="B133" t="str">
        <f>HYPERLINK("https://www.suredividend.com/sure-analysis-research-database/","Accuray Inc")</f>
        <v>Accuray Inc</v>
      </c>
      <c r="C133">
        <v>-1.7985611510790998E-2</v>
      </c>
      <c r="D133">
        <v>7.3800738007370002E-3</v>
      </c>
      <c r="E133">
        <v>-5.8620689655171997E-2</v>
      </c>
      <c r="F133">
        <v>-3.5335689045936002E-2</v>
      </c>
      <c r="G133">
        <v>-0.119354838709677</v>
      </c>
      <c r="H133">
        <v>-0.24585635359116001</v>
      </c>
      <c r="I133">
        <v>-0.47195357833655599</v>
      </c>
    </row>
    <row r="134" spans="1:9" x14ac:dyDescent="0.2">
      <c r="A134" s="1" t="s">
        <v>134</v>
      </c>
      <c r="B134" t="str">
        <f>HYPERLINK("https://www.suredividend.com/sure-analysis-research-database/","ArcBest Corp")</f>
        <v>ArcBest Corp</v>
      </c>
      <c r="C134">
        <v>0.18412576570422801</v>
      </c>
      <c r="D134">
        <v>0.15419604275642401</v>
      </c>
      <c r="E134">
        <v>0.342959458099032</v>
      </c>
      <c r="F134">
        <v>0.16619847770593499</v>
      </c>
      <c r="G134">
        <v>0.38148356362990699</v>
      </c>
      <c r="H134">
        <v>0.60966696545542309</v>
      </c>
      <c r="I134">
        <v>2.7796690664565502</v>
      </c>
    </row>
    <row r="135" spans="1:9" x14ac:dyDescent="0.2">
      <c r="A135" s="1" t="s">
        <v>135</v>
      </c>
      <c r="B135" t="str">
        <f>HYPERLINK("https://www.suredividend.com/sure-analysis-research-database/","Arch Resources Inc")</f>
        <v>Arch Resources Inc</v>
      </c>
      <c r="C135">
        <v>-0.148694481830417</v>
      </c>
      <c r="D135">
        <v>1.0609062440083999E-2</v>
      </c>
      <c r="E135">
        <v>0.18920398612332101</v>
      </c>
      <c r="F135">
        <v>-4.7065204290707013E-2</v>
      </c>
      <c r="G135">
        <v>-8.7509517054800009E-4</v>
      </c>
      <c r="H135">
        <v>0.41368502171530303</v>
      </c>
      <c r="I135">
        <v>0.82402690880903606</v>
      </c>
    </row>
    <row r="136" spans="1:9" x14ac:dyDescent="0.2">
      <c r="A136" s="1" t="s">
        <v>136</v>
      </c>
      <c r="B136" t="str">
        <f>HYPERLINK("https://www.suredividend.com/sure-analysis-research-database/","Arcturus Therapeutics Holdings Inc")</f>
        <v>Arcturus Therapeutics Holdings Inc</v>
      </c>
      <c r="C136">
        <v>0.104974061641745</v>
      </c>
      <c r="D136">
        <v>0.48523379819524198</v>
      </c>
      <c r="E136">
        <v>0.22455191072032399</v>
      </c>
      <c r="F136">
        <v>0.14843006660323499</v>
      </c>
      <c r="G136">
        <v>0.96047644829453105</v>
      </c>
      <c r="H136">
        <v>0.60719041278295505</v>
      </c>
      <c r="I136">
        <v>4.217579250720461</v>
      </c>
    </row>
    <row r="137" spans="1:9" x14ac:dyDescent="0.2">
      <c r="A137" s="1" t="s">
        <v>137</v>
      </c>
      <c r="B137" t="str">
        <f>HYPERLINK("https://www.suredividend.com/sure-analysis-research-database/","Ardelyx Inc")</f>
        <v>Ardelyx Inc</v>
      </c>
      <c r="C137">
        <v>3.2608695652174002E-2</v>
      </c>
      <c r="D137">
        <v>0.95205479452054809</v>
      </c>
      <c r="E137">
        <v>1.368421052631579</v>
      </c>
      <c r="F137">
        <v>0.37903225806451601</v>
      </c>
      <c r="G137">
        <v>1.8125</v>
      </c>
      <c r="H137">
        <v>11.337662337662341</v>
      </c>
      <c r="I137">
        <v>2.2509505703422059</v>
      </c>
    </row>
    <row r="138" spans="1:9" x14ac:dyDescent="0.2">
      <c r="A138" s="1" t="s">
        <v>138</v>
      </c>
      <c r="B138" t="str">
        <f>HYPERLINK("https://www.suredividend.com/sure-analysis-ARI/","Apollo Commercial Real Estate Finance Inc")</f>
        <v>Apollo Commercial Real Estate Finance Inc</v>
      </c>
      <c r="C138">
        <v>-7.2525597269624001E-2</v>
      </c>
      <c r="D138">
        <v>3.9982395882167003E-2</v>
      </c>
      <c r="E138">
        <v>0.143548471937299</v>
      </c>
      <c r="F138">
        <v>-7.4105621805791999E-2</v>
      </c>
      <c r="G138">
        <v>3.5879353885738E-2</v>
      </c>
      <c r="H138">
        <v>4.5725225355228001E-2</v>
      </c>
      <c r="I138">
        <v>0.101406395655169</v>
      </c>
    </row>
    <row r="139" spans="1:9" x14ac:dyDescent="0.2">
      <c r="A139" s="1" t="s">
        <v>139</v>
      </c>
      <c r="B139" t="str">
        <f>HYPERLINK("https://www.suredividend.com/sure-analysis-research-database/","Aris Water Solutions Inc")</f>
        <v>Aris Water Solutions Inc</v>
      </c>
      <c r="C139">
        <v>0.18397997496871099</v>
      </c>
      <c r="D139">
        <v>0.172867823003583</v>
      </c>
      <c r="E139">
        <v>-0.16822002602609601</v>
      </c>
      <c r="F139">
        <v>0.12753277711561301</v>
      </c>
      <c r="G139">
        <v>-0.298011279311368</v>
      </c>
      <c r="H139">
        <v>-0.26072380297429698</v>
      </c>
      <c r="I139">
        <v>-0.29266268384414601</v>
      </c>
    </row>
    <row r="140" spans="1:9" x14ac:dyDescent="0.2">
      <c r="A140" s="1" t="s">
        <v>140</v>
      </c>
      <c r="B140" t="str">
        <f>HYPERLINK("https://www.suredividend.com/sure-analysis-research-database/","ARKO Corp")</f>
        <v>ARKO Corp</v>
      </c>
      <c r="C140">
        <v>4.5103092783505001E-2</v>
      </c>
      <c r="D140">
        <v>7.8457446808510009E-2</v>
      </c>
      <c r="E140">
        <v>8.2174069792009998E-3</v>
      </c>
      <c r="F140">
        <v>-1.6969696969696999E-2</v>
      </c>
      <c r="G140">
        <v>4.8196652253100006E-3</v>
      </c>
      <c r="H140">
        <v>1.8575501438062001E-2</v>
      </c>
      <c r="I140">
        <v>-0.18080808080808</v>
      </c>
    </row>
    <row r="141" spans="1:9" x14ac:dyDescent="0.2">
      <c r="A141" s="1" t="s">
        <v>141</v>
      </c>
      <c r="B141" t="str">
        <f>HYPERLINK("https://www.suredividend.com/sure-analysis-research-database/","American Realty Investors Inc.")</f>
        <v>American Realty Investors Inc.</v>
      </c>
      <c r="C141">
        <v>-9.765625E-2</v>
      </c>
      <c r="D141">
        <v>0.40663058186738799</v>
      </c>
      <c r="E141">
        <v>-5.4570259208731008E-2</v>
      </c>
      <c r="F141">
        <v>0.19414129810453701</v>
      </c>
      <c r="G141">
        <v>-0.204362801377726</v>
      </c>
      <c r="H141">
        <v>0.53431734317343105</v>
      </c>
      <c r="I141">
        <v>0.59554873369148109</v>
      </c>
    </row>
    <row r="142" spans="1:9" x14ac:dyDescent="0.2">
      <c r="A142" s="1" t="s">
        <v>142</v>
      </c>
      <c r="B142" t="str">
        <f>HYPERLINK("https://www.suredividend.com/sure-analysis-research-database/","Arlo Technologies Inc")</f>
        <v>Arlo Technologies Inc</v>
      </c>
      <c r="C142">
        <v>1.1467889908250001E-3</v>
      </c>
      <c r="D142">
        <v>-4.4857768052515998E-2</v>
      </c>
      <c r="E142">
        <v>-0.12084592145015</v>
      </c>
      <c r="F142">
        <v>-8.2983193277310005E-2</v>
      </c>
      <c r="G142">
        <v>0.9977116704805491</v>
      </c>
      <c r="H142">
        <v>6.9204152249130006E-3</v>
      </c>
      <c r="I142">
        <v>1.2101265822784799</v>
      </c>
    </row>
    <row r="143" spans="1:9" x14ac:dyDescent="0.2">
      <c r="A143" s="1" t="s">
        <v>143</v>
      </c>
      <c r="B143" t="str">
        <f>HYPERLINK("https://www.suredividend.com/sure-analysis-research-database/","Archrock Inc")</f>
        <v>Archrock Inc</v>
      </c>
      <c r="C143">
        <v>0.16781749210531499</v>
      </c>
      <c r="D143">
        <v>0.22987680315696199</v>
      </c>
      <c r="E143">
        <v>0.42088475045912899</v>
      </c>
      <c r="F143">
        <v>0.15720695898606599</v>
      </c>
      <c r="G143">
        <v>0.93895160315244508</v>
      </c>
      <c r="H143">
        <v>1.3413546408993771</v>
      </c>
      <c r="I143">
        <v>1.2948132537173631</v>
      </c>
    </row>
    <row r="144" spans="1:9" x14ac:dyDescent="0.2">
      <c r="A144" s="1" t="s">
        <v>144</v>
      </c>
      <c r="B144" t="str">
        <f>HYPERLINK("https://www.suredividend.com/sure-analysis-AROW/","Arrow Financial Corp.")</f>
        <v>Arrow Financial Corp.</v>
      </c>
      <c r="C144">
        <v>-2.4421070924983E-2</v>
      </c>
      <c r="D144">
        <v>4.2986234270754001E-2</v>
      </c>
      <c r="E144">
        <v>0.46199695762576398</v>
      </c>
      <c r="F144">
        <v>-9.6003015763218014E-2</v>
      </c>
      <c r="G144">
        <v>-0.10495571886188</v>
      </c>
      <c r="H144">
        <v>-0.148161304451288</v>
      </c>
      <c r="I144">
        <v>5.4792513046800001E-3</v>
      </c>
    </row>
    <row r="145" spans="1:9" x14ac:dyDescent="0.2">
      <c r="A145" s="1" t="s">
        <v>145</v>
      </c>
      <c r="B145" t="str">
        <f>HYPERLINK("https://www.suredividend.com/sure-analysis-research-database/","Arcutis Biotherapeutics Inc")</f>
        <v>Arcutis Biotherapeutics Inc</v>
      </c>
      <c r="C145">
        <v>1.916923076923077</v>
      </c>
      <c r="D145">
        <v>3.579710144927537</v>
      </c>
      <c r="E145">
        <v>0.212276214833759</v>
      </c>
      <c r="F145">
        <v>1.9349845201238389</v>
      </c>
      <c r="G145">
        <v>-0.44136711844431298</v>
      </c>
      <c r="H145">
        <v>-0.40675844806007511</v>
      </c>
      <c r="I145">
        <v>-0.565137614678899</v>
      </c>
    </row>
    <row r="146" spans="1:9" x14ac:dyDescent="0.2">
      <c r="A146" s="1" t="s">
        <v>146</v>
      </c>
      <c r="B146" t="str">
        <f>HYPERLINK("https://www.suredividend.com/sure-analysis-ARR/","ARMOUR Residential REIT Inc")</f>
        <v>ARMOUR Residential REIT Inc</v>
      </c>
      <c r="C146">
        <v>9.6369376900000002E-4</v>
      </c>
      <c r="D146">
        <v>0.13037151944780101</v>
      </c>
      <c r="E146">
        <v>-9.742092831217701E-2</v>
      </c>
      <c r="F146">
        <v>-1.927130062698E-3</v>
      </c>
      <c r="G146">
        <v>-0.21652302922202399</v>
      </c>
      <c r="H146">
        <v>-0.36799924697782599</v>
      </c>
      <c r="I146">
        <v>-0.62114265792607803</v>
      </c>
    </row>
    <row r="147" spans="1:9" x14ac:dyDescent="0.2">
      <c r="A147" s="1" t="s">
        <v>147</v>
      </c>
      <c r="B147" t="str">
        <f>HYPERLINK("https://www.suredividend.com/sure-analysis-research-database/","Array Technologies Inc")</f>
        <v>Array Technologies Inc</v>
      </c>
      <c r="C147">
        <v>9.7842835130970002E-2</v>
      </c>
      <c r="D147">
        <v>-9.8671726755218014E-2</v>
      </c>
      <c r="E147">
        <v>-0.32655954631379902</v>
      </c>
      <c r="F147">
        <v>-0.151785714285714</v>
      </c>
      <c r="G147">
        <v>-0.29872047244094402</v>
      </c>
      <c r="H147">
        <v>0.58509454949944306</v>
      </c>
      <c r="I147">
        <v>-0.60905349794238606</v>
      </c>
    </row>
    <row r="148" spans="1:9" x14ac:dyDescent="0.2">
      <c r="A148" s="1" t="s">
        <v>148</v>
      </c>
      <c r="B148" t="str">
        <f>HYPERLINK("https://www.suredividend.com/sure-analysis-ARTNA/","Artesian Resources Corp.")</f>
        <v>Artesian Resources Corp.</v>
      </c>
      <c r="C148">
        <v>-2.4299484788537998E-2</v>
      </c>
      <c r="D148">
        <v>-0.13245086280510801</v>
      </c>
      <c r="E148">
        <v>-0.23039902278372801</v>
      </c>
      <c r="F148">
        <v>-0.12575325942524199</v>
      </c>
      <c r="G148">
        <v>-0.37295035124275699</v>
      </c>
      <c r="H148">
        <v>-0.17889346338408199</v>
      </c>
      <c r="I148">
        <v>5.1055476629784012E-2</v>
      </c>
    </row>
    <row r="149" spans="1:9" x14ac:dyDescent="0.2">
      <c r="A149" s="1" t="s">
        <v>149</v>
      </c>
      <c r="B149" t="str">
        <f>HYPERLINK("https://www.suredividend.com/sure-analysis-research-database/","Arvinas Inc")</f>
        <v>Arvinas Inc</v>
      </c>
      <c r="C149">
        <v>0.38934651290499711</v>
      </c>
      <c r="D149">
        <v>1.3242994947175011</v>
      </c>
      <c r="E149">
        <v>0.88104089219330806</v>
      </c>
      <c r="F149">
        <v>0.22934888241010701</v>
      </c>
      <c r="G149">
        <v>0.43180531975099001</v>
      </c>
      <c r="H149">
        <v>-0.26687916545928703</v>
      </c>
      <c r="I149">
        <v>1.3020928116469519</v>
      </c>
    </row>
    <row r="150" spans="1:9" x14ac:dyDescent="0.2">
      <c r="A150" s="1" t="s">
        <v>150</v>
      </c>
      <c r="B150" t="str">
        <f>HYPERLINK("https://www.suredividend.com/sure-analysis-research-database/","Arrowhead Pharmaceuticals Inc.")</f>
        <v>Arrowhead Pharmaceuticals Inc.</v>
      </c>
      <c r="C150">
        <v>-0.13422222222222199</v>
      </c>
      <c r="D150">
        <v>1.1072664359861E-2</v>
      </c>
      <c r="E150">
        <v>3.3970276008491999E-2</v>
      </c>
      <c r="F150">
        <v>-4.5098039215686003E-2</v>
      </c>
      <c r="G150">
        <v>-0.13422222222222199</v>
      </c>
      <c r="H150">
        <v>-0.33966101694915202</v>
      </c>
      <c r="I150">
        <v>0.61436464088397702</v>
      </c>
    </row>
    <row r="151" spans="1:9" x14ac:dyDescent="0.2">
      <c r="A151" s="1" t="s">
        <v>151</v>
      </c>
      <c r="B151" t="str">
        <f>HYPERLINK("https://www.suredividend.com/sure-analysis-research-database/","Asana Inc")</f>
        <v>Asana Inc</v>
      </c>
      <c r="C151">
        <v>3.1955922865013003E-2</v>
      </c>
      <c r="D151">
        <v>-0.142399267399267</v>
      </c>
      <c r="E151">
        <v>-7.5518262586377005E-2</v>
      </c>
      <c r="F151">
        <v>-1.4729089952656E-2</v>
      </c>
      <c r="G151">
        <v>0.19987187700192099</v>
      </c>
      <c r="H151">
        <v>-0.70335761799176411</v>
      </c>
      <c r="I151">
        <v>-0.34965277777777698</v>
      </c>
    </row>
    <row r="152" spans="1:9" x14ac:dyDescent="0.2">
      <c r="A152" s="1" t="s">
        <v>152</v>
      </c>
      <c r="B152" t="str">
        <f>HYPERLINK("https://www.suredividend.com/sure-analysis-ASB/","Associated Banc-Corp.")</f>
        <v>Associated Banc-Corp.</v>
      </c>
      <c r="C152">
        <v>-2.7608797379502999E-2</v>
      </c>
      <c r="D152">
        <v>0.16499411335986999</v>
      </c>
      <c r="E152">
        <v>0.21720488053468001</v>
      </c>
      <c r="F152">
        <v>-2.8517999064983E-2</v>
      </c>
      <c r="G152">
        <v>-8.4843547001959008E-2</v>
      </c>
      <c r="H152">
        <v>-9.2283095847566013E-2</v>
      </c>
      <c r="I152">
        <v>7.0769738130325999E-2</v>
      </c>
    </row>
    <row r="153" spans="1:9" x14ac:dyDescent="0.2">
      <c r="A153" s="1" t="s">
        <v>153</v>
      </c>
      <c r="B153" t="str">
        <f>HYPERLINK("https://www.suredividend.com/sure-analysis-research-database/","Ardmore Shipping Corp")</f>
        <v>Ardmore Shipping Corp</v>
      </c>
      <c r="C153">
        <v>2.8883183568677001E-2</v>
      </c>
      <c r="D153">
        <v>0.22251626335578001</v>
      </c>
      <c r="E153">
        <v>0.214274351768386</v>
      </c>
      <c r="F153">
        <v>0.13768630234208601</v>
      </c>
      <c r="G153">
        <v>-3.6264819758074003E-2</v>
      </c>
      <c r="H153">
        <v>3.0816846179308941</v>
      </c>
      <c r="I153">
        <v>2.2092734589281058</v>
      </c>
    </row>
    <row r="154" spans="1:9" x14ac:dyDescent="0.2">
      <c r="A154" s="1" t="s">
        <v>154</v>
      </c>
      <c r="B154" t="str">
        <f>HYPERLINK("https://www.suredividend.com/sure-analysis-research-database/","ASGN Inc")</f>
        <v>ASGN Inc</v>
      </c>
      <c r="C154">
        <v>1.8423307626392001E-2</v>
      </c>
      <c r="D154">
        <v>4.8406660050722007E-2</v>
      </c>
      <c r="E154">
        <v>0.20445908284773201</v>
      </c>
      <c r="F154">
        <v>-1.1334095871892999E-2</v>
      </c>
      <c r="G154">
        <v>2.8336577979665999E-2</v>
      </c>
      <c r="H154">
        <v>-0.114546470478673</v>
      </c>
      <c r="I154">
        <v>0.44366838748861198</v>
      </c>
    </row>
    <row r="155" spans="1:9" x14ac:dyDescent="0.2">
      <c r="A155" s="1" t="s">
        <v>155</v>
      </c>
      <c r="B155" t="str">
        <f>HYPERLINK("https://www.suredividend.com/sure-analysis-research-database/","AdvanSix Inc")</f>
        <v>AdvanSix Inc</v>
      </c>
      <c r="C155">
        <v>9.5162569389373008E-2</v>
      </c>
      <c r="D155">
        <v>1.3950073421439E-2</v>
      </c>
      <c r="E155">
        <v>-0.19627528008147799</v>
      </c>
      <c r="F155">
        <v>-7.8104138851802007E-2</v>
      </c>
      <c r="G155">
        <v>-0.333818939609553</v>
      </c>
      <c r="H155">
        <v>-0.16625663719485401</v>
      </c>
      <c r="I155">
        <v>-0.156684996503998</v>
      </c>
    </row>
    <row r="156" spans="1:9" x14ac:dyDescent="0.2">
      <c r="A156" s="1" t="s">
        <v>156</v>
      </c>
      <c r="B156" t="str">
        <f>HYPERLINK("https://www.suredividend.com/sure-analysis-research-database/","AerSale Corp")</f>
        <v>AerSale Corp</v>
      </c>
      <c r="C156">
        <v>-8.4057971014492E-2</v>
      </c>
      <c r="D156">
        <v>-0.32813607370659098</v>
      </c>
      <c r="E156">
        <v>-0.248215701823949</v>
      </c>
      <c r="F156">
        <v>-0.25324931075226398</v>
      </c>
      <c r="G156">
        <v>-0.51159196290571807</v>
      </c>
      <c r="H156">
        <v>-0.37672583826429901</v>
      </c>
      <c r="I156">
        <v>-2.0661157024793E-2</v>
      </c>
    </row>
    <row r="157" spans="1:9" x14ac:dyDescent="0.2">
      <c r="A157" s="1" t="s">
        <v>157</v>
      </c>
      <c r="B157" t="str">
        <f>HYPERLINK("https://www.suredividend.com/sure-analysis-research-database/","Academy Sports and Outdoors Inc")</f>
        <v>Academy Sports and Outdoors Inc</v>
      </c>
      <c r="C157">
        <v>0.10712015257469699</v>
      </c>
      <c r="D157">
        <v>0.45074828288550212</v>
      </c>
      <c r="E157">
        <v>0.224685697408047</v>
      </c>
      <c r="F157">
        <v>5.5454545454545007E-2</v>
      </c>
      <c r="G157">
        <v>0.122852942693557</v>
      </c>
      <c r="H157">
        <v>1.0680196173896519</v>
      </c>
      <c r="I157">
        <v>4.4558270676691727</v>
      </c>
    </row>
    <row r="158" spans="1:9" x14ac:dyDescent="0.2">
      <c r="A158" s="1" t="s">
        <v>158</v>
      </c>
      <c r="B158" t="str">
        <f>HYPERLINK("https://www.suredividend.com/sure-analysis-research-database/","Aspen Aerogels Inc.")</f>
        <v>Aspen Aerogels Inc.</v>
      </c>
      <c r="C158">
        <v>0.42272347535505411</v>
      </c>
      <c r="D158">
        <v>0.55100182149362409</v>
      </c>
      <c r="E158">
        <v>1.9668989547038329</v>
      </c>
      <c r="F158">
        <v>7.9214195183777009E-2</v>
      </c>
      <c r="G158">
        <v>0.38455284552845498</v>
      </c>
      <c r="H158">
        <v>-0.40245614035087701</v>
      </c>
      <c r="I158">
        <v>3.810734463276837</v>
      </c>
    </row>
    <row r="159" spans="1:9" x14ac:dyDescent="0.2">
      <c r="A159" s="1" t="s">
        <v>159</v>
      </c>
      <c r="B159" t="str">
        <f>HYPERLINK("https://www.suredividend.com/sure-analysis-research-database/","Assertio Holdings Inc")</f>
        <v>Assertio Holdings Inc</v>
      </c>
      <c r="C159">
        <v>-2.2446555819477E-2</v>
      </c>
      <c r="D159">
        <v>-0.33620967741935398</v>
      </c>
      <c r="E159">
        <v>-0.74981762917933104</v>
      </c>
      <c r="F159">
        <v>-0.230747663551401</v>
      </c>
      <c r="G159">
        <v>-0.83405241935483809</v>
      </c>
      <c r="H159">
        <v>-0.66810483870967707</v>
      </c>
      <c r="I159">
        <v>-0.77136111111111105</v>
      </c>
    </row>
    <row r="160" spans="1:9" x14ac:dyDescent="0.2">
      <c r="A160" s="1" t="s">
        <v>160</v>
      </c>
      <c r="B160" t="str">
        <f>HYPERLINK("https://www.suredividend.com/sure-analysis-research-database/","Astec Industries Inc.")</f>
        <v>Astec Industries Inc.</v>
      </c>
      <c r="C160">
        <v>3.1037540644397999E-2</v>
      </c>
      <c r="D160">
        <v>8.3566324945635012E-2</v>
      </c>
      <c r="E160">
        <v>-0.32706832918860401</v>
      </c>
      <c r="F160">
        <v>-6.2365591397849002E-2</v>
      </c>
      <c r="G160">
        <v>-0.224692477649893</v>
      </c>
      <c r="H160">
        <v>-0.30071472248117898</v>
      </c>
      <c r="I160">
        <v>-6.2718331810608E-2</v>
      </c>
    </row>
    <row r="161" spans="1:9" x14ac:dyDescent="0.2">
      <c r="A161" s="1" t="s">
        <v>161</v>
      </c>
      <c r="B161" t="str">
        <f>HYPERLINK("https://www.suredividend.com/sure-analysis-research-database/","AST SpaceMobile Inc")</f>
        <v>AST SpaceMobile Inc</v>
      </c>
      <c r="C161">
        <v>7.4433656957928002E-2</v>
      </c>
      <c r="D161">
        <v>-0.30543933054393302</v>
      </c>
      <c r="E161">
        <v>-0.13766233766233699</v>
      </c>
      <c r="F161">
        <v>-0.44941956882255402</v>
      </c>
      <c r="G161">
        <v>-0.48686244204018497</v>
      </c>
      <c r="H161">
        <v>-0.50224887556221909</v>
      </c>
      <c r="I161">
        <v>-0.66018423746161703</v>
      </c>
    </row>
    <row r="162" spans="1:9" x14ac:dyDescent="0.2">
      <c r="A162" s="1" t="s">
        <v>162</v>
      </c>
      <c r="B162" t="str">
        <f>HYPERLINK("https://www.suredividend.com/sure-analysis-research-database/","Asure Software Inc")</f>
        <v>Asure Software Inc</v>
      </c>
      <c r="C162">
        <v>0.213859020310633</v>
      </c>
      <c r="D162">
        <v>0.31096774193548299</v>
      </c>
      <c r="E162">
        <v>-0.14550042052144599</v>
      </c>
      <c r="F162">
        <v>6.7226890756302005E-2</v>
      </c>
      <c r="G162">
        <v>-9.9290780141843005E-2</v>
      </c>
      <c r="H162">
        <v>0.42496493688639497</v>
      </c>
      <c r="I162">
        <v>0.54878048780487809</v>
      </c>
    </row>
    <row r="163" spans="1:9" x14ac:dyDescent="0.2">
      <c r="A163" s="1" t="s">
        <v>163</v>
      </c>
      <c r="B163" t="str">
        <f>HYPERLINK("https://www.suredividend.com/sure-analysis-research-database/","Alphatec Holdings Inc")</f>
        <v>Alphatec Holdings Inc</v>
      </c>
      <c r="C163">
        <v>-2.5906735751289999E-3</v>
      </c>
      <c r="D163">
        <v>0.35444151275285801</v>
      </c>
      <c r="E163">
        <v>6.8702290076335007E-2</v>
      </c>
      <c r="F163">
        <v>1.9192587690271001E-2</v>
      </c>
      <c r="G163">
        <v>7.6923076923076011E-2</v>
      </c>
      <c r="H163">
        <v>0.57142857142857106</v>
      </c>
      <c r="I163">
        <v>10</v>
      </c>
    </row>
    <row r="164" spans="1:9" x14ac:dyDescent="0.2">
      <c r="A164" s="1" t="s">
        <v>164</v>
      </c>
      <c r="B164" t="str">
        <f>HYPERLINK("https://www.suredividend.com/sure-analysis-research-database/","A10 Networks Inc")</f>
        <v>A10 Networks Inc</v>
      </c>
      <c r="C164">
        <v>-4.4194889549765012E-2</v>
      </c>
      <c r="D164">
        <v>7.2715497916009009E-2</v>
      </c>
      <c r="E164">
        <v>-0.11205190235319901</v>
      </c>
      <c r="F164">
        <v>-1.4440130289184E-2</v>
      </c>
      <c r="G164">
        <v>-0.13415271616024799</v>
      </c>
      <c r="H164">
        <v>2.8310371449263998E-2</v>
      </c>
      <c r="I164">
        <v>1.0164185160907699</v>
      </c>
    </row>
    <row r="165" spans="1:9" x14ac:dyDescent="0.2">
      <c r="A165" s="1" t="s">
        <v>165</v>
      </c>
      <c r="B165" t="str">
        <f>HYPERLINK("https://www.suredividend.com/sure-analysis-research-database/","Anterix Inc")</f>
        <v>Anterix Inc</v>
      </c>
      <c r="C165">
        <v>0.34537474679270702</v>
      </c>
      <c r="D165">
        <v>0.23719341819310699</v>
      </c>
      <c r="E165">
        <v>0.21382881510813201</v>
      </c>
      <c r="F165">
        <v>0.19597839135654199</v>
      </c>
      <c r="G165">
        <v>0.265883100381194</v>
      </c>
      <c r="H165">
        <v>-0.25150262960180297</v>
      </c>
      <c r="I165">
        <v>-3.9527597011328013E-2</v>
      </c>
    </row>
    <row r="166" spans="1:9" x14ac:dyDescent="0.2">
      <c r="A166" s="1" t="s">
        <v>166</v>
      </c>
      <c r="B166" t="str">
        <f>HYPERLINK("https://www.suredividend.com/sure-analysis-research-database/","Adtalem Global Education Inc")</f>
        <v>Adtalem Global Education Inc</v>
      </c>
      <c r="C166">
        <v>-0.25830377297645901</v>
      </c>
      <c r="D166">
        <v>-0.17533166009322301</v>
      </c>
      <c r="E166">
        <v>8.1843838193791013E-2</v>
      </c>
      <c r="F166">
        <v>-0.21967769296013501</v>
      </c>
      <c r="G166">
        <v>0.123046875</v>
      </c>
      <c r="H166">
        <v>1.208353336533845</v>
      </c>
      <c r="I166">
        <v>-4.4652128764278001E-2</v>
      </c>
    </row>
    <row r="167" spans="1:9" x14ac:dyDescent="0.2">
      <c r="A167" s="1" t="s">
        <v>167</v>
      </c>
      <c r="B167" t="str">
        <f>HYPERLINK("https://www.suredividend.com/sure-analysis-research-database/","ATI Inc")</f>
        <v>ATI Inc</v>
      </c>
      <c r="C167">
        <v>6.2842180433230005E-2</v>
      </c>
      <c r="D167">
        <v>1.345593182327E-3</v>
      </c>
      <c r="E167">
        <v>3.1453605931249999E-3</v>
      </c>
      <c r="F167">
        <v>-1.8033868484714999E-2</v>
      </c>
      <c r="G167">
        <v>8.2686711930164011E-2</v>
      </c>
      <c r="H167">
        <v>0.86274509803921506</v>
      </c>
      <c r="I167">
        <v>0.53120713305898404</v>
      </c>
    </row>
    <row r="168" spans="1:9" x14ac:dyDescent="0.2">
      <c r="A168" s="1" t="s">
        <v>168</v>
      </c>
      <c r="B168" t="str">
        <f>HYPERLINK("https://www.suredividend.com/sure-analysis-research-database/","Atkore Inc")</f>
        <v>Atkore Inc</v>
      </c>
      <c r="C168">
        <v>-6.809567376813401E-2</v>
      </c>
      <c r="D168">
        <v>9.4901719901719001E-2</v>
      </c>
      <c r="E168">
        <v>4.4375572304000003E-3</v>
      </c>
      <c r="F168">
        <v>-0.10875</v>
      </c>
      <c r="G168">
        <v>-2.6355318858391E-2</v>
      </c>
      <c r="H168">
        <v>0.35602890833016299</v>
      </c>
      <c r="I168">
        <v>4.8925619834710741</v>
      </c>
    </row>
    <row r="169" spans="1:9" x14ac:dyDescent="0.2">
      <c r="A169" s="1" t="s">
        <v>169</v>
      </c>
      <c r="B169" t="str">
        <f>HYPERLINK("https://www.suredividend.com/sure-analysis-research-database/","Atlanticus Holdings Corp")</f>
        <v>Atlanticus Holdings Corp</v>
      </c>
      <c r="C169">
        <v>-5.1142857142856997E-2</v>
      </c>
      <c r="D169">
        <v>6.4764347547290005E-2</v>
      </c>
      <c r="E169">
        <v>-4.2387543252595E-2</v>
      </c>
      <c r="F169">
        <v>-0.14119472459270699</v>
      </c>
      <c r="G169">
        <v>-0.102432432432432</v>
      </c>
      <c r="H169">
        <v>-0.45859145745027702</v>
      </c>
      <c r="I169">
        <v>8.0986301369863014</v>
      </c>
    </row>
    <row r="170" spans="1:9" x14ac:dyDescent="0.2">
      <c r="A170" s="1" t="s">
        <v>170</v>
      </c>
      <c r="B170" t="str">
        <f>HYPERLINK("https://www.suredividend.com/sure-analysis-ATLO/","Ames National Corp.")</f>
        <v>Ames National Corp.</v>
      </c>
      <c r="C170">
        <v>-6.3290219067548004E-2</v>
      </c>
      <c r="D170">
        <v>-4.2432349225559003E-2</v>
      </c>
      <c r="E170">
        <v>3.8907189422035013E-2</v>
      </c>
      <c r="F170">
        <v>-0.133525456292026</v>
      </c>
      <c r="G170">
        <v>-0.18238224083465901</v>
      </c>
      <c r="H170">
        <v>-0.13337144449301699</v>
      </c>
      <c r="I170">
        <v>-9.414558948325101E-2</v>
      </c>
    </row>
    <row r="171" spans="1:9" x14ac:dyDescent="0.2">
      <c r="A171" s="1" t="s">
        <v>171</v>
      </c>
      <c r="B171" t="str">
        <f>HYPERLINK("https://www.suredividend.com/sure-analysis-research-database/","Atmus Filtration Technologies Inc")</f>
        <v>Atmus Filtration Technologies Inc</v>
      </c>
      <c r="C171">
        <v>2.2634676324128002E-2</v>
      </c>
      <c r="D171">
        <v>7.5714285714285012E-2</v>
      </c>
      <c r="E171">
        <v>7.1333036112340006E-3</v>
      </c>
      <c r="F171">
        <v>-3.8314176245209997E-2</v>
      </c>
      <c r="G171">
        <v>4.3418013856812002E-2</v>
      </c>
      <c r="H171">
        <v>4.3418013856812002E-2</v>
      </c>
      <c r="I171">
        <v>4.3418013856812002E-2</v>
      </c>
    </row>
    <row r="172" spans="1:9" x14ac:dyDescent="0.2">
      <c r="A172" s="1" t="s">
        <v>172</v>
      </c>
      <c r="B172" t="str">
        <f>HYPERLINK("https://www.suredividend.com/sure-analysis-research-database/","ATN International Inc")</f>
        <v>ATN International Inc</v>
      </c>
      <c r="C172">
        <v>6.3764901580249996E-3</v>
      </c>
      <c r="D172">
        <v>0.17725275259855</v>
      </c>
      <c r="E172">
        <v>-7.9000900114700008E-4</v>
      </c>
      <c r="F172">
        <v>-6.8514241724402999E-2</v>
      </c>
      <c r="G172">
        <v>-0.207030558814084</v>
      </c>
      <c r="H172">
        <v>0.110604591110879</v>
      </c>
      <c r="I172">
        <v>-0.46630361590327002</v>
      </c>
    </row>
    <row r="173" spans="1:9" x14ac:dyDescent="0.2">
      <c r="A173" s="1" t="s">
        <v>173</v>
      </c>
      <c r="B173" t="str">
        <f>HYPERLINK("https://www.suredividend.com/sure-analysis-research-database/","Actinium Pharmaceuticals Inc")</f>
        <v>Actinium Pharmaceuticals Inc</v>
      </c>
      <c r="C173">
        <v>0.38247011952191201</v>
      </c>
      <c r="D173">
        <v>0.51528384279475903</v>
      </c>
      <c r="E173">
        <v>0.12116316639741501</v>
      </c>
      <c r="F173">
        <v>0.36614173228346403</v>
      </c>
      <c r="G173">
        <v>-0.49563953488371998</v>
      </c>
      <c r="H173">
        <v>0.36614173228346403</v>
      </c>
      <c r="I173">
        <v>-0.64410256410256406</v>
      </c>
    </row>
    <row r="174" spans="1:9" x14ac:dyDescent="0.2">
      <c r="A174" s="1" t="s">
        <v>174</v>
      </c>
      <c r="B174" t="str">
        <f>HYPERLINK("https://www.suredividend.com/sure-analysis-research-database/","Atomera Inc")</f>
        <v>Atomera Inc</v>
      </c>
      <c r="C174">
        <v>-4.5000000000000012E-2</v>
      </c>
      <c r="D174">
        <v>-2.4087591240874999E-2</v>
      </c>
      <c r="E174">
        <v>2.06106870229E-2</v>
      </c>
      <c r="F174">
        <v>-4.6362339514978E-2</v>
      </c>
      <c r="G174">
        <v>3.1635802469134999E-2</v>
      </c>
      <c r="H174">
        <v>-0.61380704794916208</v>
      </c>
      <c r="I174">
        <v>0.78266666666666607</v>
      </c>
    </row>
    <row r="175" spans="1:9" x14ac:dyDescent="0.2">
      <c r="A175" s="1" t="s">
        <v>175</v>
      </c>
      <c r="B175" t="str">
        <f>HYPERLINK("https://www.suredividend.com/sure-analysis-research-database/","Atara Biotherapeutics Inc")</f>
        <v>Atara Biotherapeutics Inc</v>
      </c>
      <c r="C175">
        <v>0.323464566929133</v>
      </c>
      <c r="D175">
        <v>0.50609318996415709</v>
      </c>
      <c r="E175">
        <v>-0.43597315436241602</v>
      </c>
      <c r="F175">
        <v>0.63884555382215202</v>
      </c>
      <c r="G175">
        <v>-0.8140707964601771</v>
      </c>
      <c r="H175">
        <v>-0.93594512195121904</v>
      </c>
      <c r="I175">
        <v>-0.97865921787709509</v>
      </c>
    </row>
    <row r="176" spans="1:9" x14ac:dyDescent="0.2">
      <c r="A176" s="1" t="s">
        <v>176</v>
      </c>
      <c r="B176" t="str">
        <f>HYPERLINK("https://www.suredividend.com/sure-analysis-research-database/","Atricure Inc")</f>
        <v>Atricure Inc</v>
      </c>
      <c r="C176">
        <v>-1.5214797136038001E-2</v>
      </c>
      <c r="D176">
        <v>-0.212923223652837</v>
      </c>
      <c r="E176">
        <v>-0.29163090128755298</v>
      </c>
      <c r="F176">
        <v>-7.5091061922107002E-2</v>
      </c>
      <c r="G176">
        <v>-0.18170550322260701</v>
      </c>
      <c r="H176">
        <v>-0.46525190345050998</v>
      </c>
      <c r="I176">
        <v>-2.1160822249089999E-3</v>
      </c>
    </row>
    <row r="177" spans="1:9" x14ac:dyDescent="0.2">
      <c r="A177" s="1" t="s">
        <v>177</v>
      </c>
      <c r="B177" t="str">
        <f>HYPERLINK("https://www.suredividend.com/sure-analysis-ATRI/","Atrion Corp.")</f>
        <v>Atrion Corp.</v>
      </c>
      <c r="C177">
        <v>5.7754010695187007E-2</v>
      </c>
      <c r="D177">
        <v>0.18925382706317301</v>
      </c>
      <c r="E177">
        <v>-0.251899562410411</v>
      </c>
      <c r="F177">
        <v>-6.0059663665883008E-2</v>
      </c>
      <c r="G177">
        <v>-0.46972562873645002</v>
      </c>
      <c r="H177">
        <v>-0.43352466699049702</v>
      </c>
      <c r="I177">
        <v>-0.51743006707239503</v>
      </c>
    </row>
    <row r="178" spans="1:9" x14ac:dyDescent="0.2">
      <c r="A178" s="1" t="s">
        <v>178</v>
      </c>
      <c r="B178" t="str">
        <f>HYPERLINK("https://www.suredividend.com/sure-analysis-research-database/","Astronics Corp.")</f>
        <v>Astronics Corp.</v>
      </c>
      <c r="C178">
        <v>0.12981624184943599</v>
      </c>
      <c r="D178">
        <v>0.22967741935483801</v>
      </c>
      <c r="E178">
        <v>0.13182897862232701</v>
      </c>
      <c r="F178">
        <v>9.4144661308840014E-2</v>
      </c>
      <c r="G178">
        <v>0.30637422892392002</v>
      </c>
      <c r="H178">
        <v>0.36826992103374001</v>
      </c>
      <c r="I178">
        <v>-0.44753623188405811</v>
      </c>
    </row>
    <row r="179" spans="1:9" x14ac:dyDescent="0.2">
      <c r="A179" s="1" t="s">
        <v>179</v>
      </c>
      <c r="B179" t="str">
        <f>HYPERLINK("https://www.suredividend.com/sure-analysis-research-database/","Air Transport Services Group Inc")</f>
        <v>Air Transport Services Group Inc</v>
      </c>
      <c r="C179">
        <v>-0.12901234567901201</v>
      </c>
      <c r="D179">
        <v>-0.124146492861576</v>
      </c>
      <c r="E179">
        <v>-0.35126436781609099</v>
      </c>
      <c r="F179">
        <v>-0.19875070982396301</v>
      </c>
      <c r="G179">
        <v>-0.43401524267950198</v>
      </c>
      <c r="H179">
        <v>-0.49171469740634011</v>
      </c>
      <c r="I179">
        <v>-0.44925839188134198</v>
      </c>
    </row>
    <row r="180" spans="1:9" x14ac:dyDescent="0.2">
      <c r="A180" s="1" t="s">
        <v>180</v>
      </c>
      <c r="B180" t="str">
        <f>HYPERLINK("https://www.suredividend.com/sure-analysis-research-database/","Astria Therapeutics Inc")</f>
        <v>Astria Therapeutics Inc</v>
      </c>
      <c r="C180">
        <v>0.80465717981888707</v>
      </c>
      <c r="D180">
        <v>2.0659340659340648</v>
      </c>
      <c r="E180">
        <v>0.74157303370786509</v>
      </c>
      <c r="F180">
        <v>0.81640625</v>
      </c>
      <c r="G180">
        <v>3.0280649926144002E-2</v>
      </c>
      <c r="H180">
        <v>1.2319999999999991</v>
      </c>
      <c r="I180">
        <v>-0.49013157894736797</v>
      </c>
    </row>
    <row r="181" spans="1:9" x14ac:dyDescent="0.2">
      <c r="A181" s="1" t="s">
        <v>181</v>
      </c>
      <c r="B181" t="str">
        <f>HYPERLINK("https://www.suredividend.com/sure-analysis-research-database/","Atlantic Union Bankshares Corp")</f>
        <v>Atlantic Union Bankshares Corp</v>
      </c>
      <c r="C181">
        <v>-3.2986296314449E-2</v>
      </c>
      <c r="D181">
        <v>5.3011632105238002E-2</v>
      </c>
      <c r="E181">
        <v>0.12617981942173301</v>
      </c>
      <c r="F181">
        <v>-7.321184321419201E-2</v>
      </c>
      <c r="G181">
        <v>-8.3210784983681008E-2</v>
      </c>
      <c r="H181">
        <v>-0.11046516253769301</v>
      </c>
      <c r="I181">
        <v>-6.5811023095691007E-2</v>
      </c>
    </row>
    <row r="182" spans="1:9" x14ac:dyDescent="0.2">
      <c r="A182" s="1" t="s">
        <v>182</v>
      </c>
      <c r="B182" t="str">
        <f>HYPERLINK("https://www.suredividend.com/sure-analysis-research-database/","Aurinia Pharmaceuticals Inc")</f>
        <v>Aurinia Pharmaceuticals Inc</v>
      </c>
      <c r="C182">
        <v>-0.30125000000000002</v>
      </c>
      <c r="D182">
        <v>-0.39502164502164511</v>
      </c>
      <c r="E182">
        <v>-0.42900919305413598</v>
      </c>
      <c r="F182">
        <v>-0.37819799777530511</v>
      </c>
      <c r="G182">
        <v>-0.317460317460317</v>
      </c>
      <c r="H182">
        <v>-0.67947247706422009</v>
      </c>
      <c r="I182">
        <v>-0.114104595879556</v>
      </c>
    </row>
    <row r="183" spans="1:9" x14ac:dyDescent="0.2">
      <c r="A183" s="1" t="s">
        <v>183</v>
      </c>
      <c r="B183" t="str">
        <f>HYPERLINK("https://www.suredividend.com/sure-analysis-research-database/","Aurora Innovation Inc")</f>
        <v>Aurora Innovation Inc</v>
      </c>
      <c r="C183">
        <v>-8.7096774193548013E-2</v>
      </c>
      <c r="D183">
        <v>0.27477477477477402</v>
      </c>
      <c r="E183">
        <v>-0.137195121951219</v>
      </c>
      <c r="F183">
        <v>-0.35240274599542298</v>
      </c>
      <c r="G183">
        <v>0.57222222222222208</v>
      </c>
      <c r="H183">
        <v>-0.46299810246679302</v>
      </c>
      <c r="I183">
        <v>-0.71699716997169904</v>
      </c>
    </row>
    <row r="184" spans="1:9" x14ac:dyDescent="0.2">
      <c r="A184" s="1" t="s">
        <v>184</v>
      </c>
      <c r="B184" t="str">
        <f>HYPERLINK("https://www.suredividend.com/sure-analysis-research-database/","Aura Biosciences Inc")</f>
        <v>Aura Biosciences Inc</v>
      </c>
      <c r="C184">
        <v>0.121919584954604</v>
      </c>
      <c r="D184">
        <v>4.0914560770155997E-2</v>
      </c>
      <c r="E184">
        <v>-0.14271555996035601</v>
      </c>
      <c r="F184">
        <v>-2.3702031602708E-2</v>
      </c>
      <c r="G184">
        <v>-0.16344294003868401</v>
      </c>
      <c r="H184">
        <v>-0.516759776536312</v>
      </c>
      <c r="I184">
        <v>-0.41554054054054002</v>
      </c>
    </row>
    <row r="185" spans="1:9" x14ac:dyDescent="0.2">
      <c r="A185" s="1" t="s">
        <v>185</v>
      </c>
      <c r="B185" t="str">
        <f>HYPERLINK("https://www.suredividend.com/sure-analysis-AVA/","Avista Corp.")</f>
        <v>Avista Corp.</v>
      </c>
      <c r="C185">
        <v>8.3184789067140014E-3</v>
      </c>
      <c r="D185">
        <v>-2.8064146620847E-2</v>
      </c>
      <c r="E185">
        <v>2.0478729001860999E-2</v>
      </c>
      <c r="F185">
        <v>-5.0363738108561013E-2</v>
      </c>
      <c r="G185">
        <v>-0.135257983066955</v>
      </c>
      <c r="H185">
        <v>-0.13711571903633499</v>
      </c>
      <c r="I185">
        <v>4.7543769279500001E-3</v>
      </c>
    </row>
    <row r="186" spans="1:9" x14ac:dyDescent="0.2">
      <c r="A186" s="1" t="s">
        <v>186</v>
      </c>
      <c r="B186" t="str">
        <f>HYPERLINK("https://www.suredividend.com/sure-analysis-research-database/","Aveanna Healthcare Holdings Inc")</f>
        <v>Aveanna Healthcare Holdings Inc</v>
      </c>
      <c r="C186">
        <v>-1.7241379310344002E-2</v>
      </c>
      <c r="D186">
        <v>3.6363636363636001E-2</v>
      </c>
      <c r="E186">
        <v>0.37349397590361411</v>
      </c>
      <c r="F186">
        <v>-0.14925373134328301</v>
      </c>
      <c r="G186">
        <v>0.85365853658536506</v>
      </c>
      <c r="H186">
        <v>-0.53564154786150708</v>
      </c>
      <c r="I186">
        <v>-0.80225498699045905</v>
      </c>
    </row>
    <row r="187" spans="1:9" x14ac:dyDescent="0.2">
      <c r="A187" s="1" t="s">
        <v>187</v>
      </c>
      <c r="B187" t="str">
        <f>HYPERLINK("https://www.suredividend.com/sure-analysis-research-database/","AeroVironment Inc.")</f>
        <v>AeroVironment Inc.</v>
      </c>
      <c r="C187">
        <v>1.3581652569941E-2</v>
      </c>
      <c r="D187">
        <v>-2.8831917712147999E-2</v>
      </c>
      <c r="E187">
        <v>0.33322635857937499</v>
      </c>
      <c r="F187">
        <v>-1.1186924785781999E-2</v>
      </c>
      <c r="G187">
        <v>0.42060868574033899</v>
      </c>
      <c r="H187">
        <v>1.0960309451732251</v>
      </c>
      <c r="I187">
        <v>0.50646681977517205</v>
      </c>
    </row>
    <row r="188" spans="1:9" x14ac:dyDescent="0.2">
      <c r="A188" s="1" t="s">
        <v>188</v>
      </c>
      <c r="B188" t="str">
        <f>HYPERLINK("https://www.suredividend.com/sure-analysis-research-database/","American Vanguard Corp.")</f>
        <v>American Vanguard Corp.</v>
      </c>
      <c r="C188">
        <v>0.11854103343465</v>
      </c>
      <c r="D188">
        <v>0.20061335682359399</v>
      </c>
      <c r="E188">
        <v>-0.27037208380146699</v>
      </c>
      <c r="F188">
        <v>6.3810391978120001E-3</v>
      </c>
      <c r="G188">
        <v>-0.45430549994809899</v>
      </c>
      <c r="H188">
        <v>-0.24756173197112899</v>
      </c>
      <c r="I188">
        <v>-0.39214077667230102</v>
      </c>
    </row>
    <row r="189" spans="1:9" x14ac:dyDescent="0.2">
      <c r="A189" s="1" t="s">
        <v>189</v>
      </c>
      <c r="B189" t="str">
        <f>HYPERLINK("https://www.suredividend.com/sure-analysis-research-database/","AvidXchange Holdings Inc")</f>
        <v>AvidXchange Holdings Inc</v>
      </c>
      <c r="C189">
        <v>0.14003759398496199</v>
      </c>
      <c r="D189">
        <v>0.227732793522267</v>
      </c>
      <c r="E189">
        <v>0.23147208121827401</v>
      </c>
      <c r="F189">
        <v>-2.0984665052461E-2</v>
      </c>
      <c r="G189">
        <v>0.196252465483234</v>
      </c>
      <c r="H189">
        <v>0.23397761953204399</v>
      </c>
      <c r="I189">
        <v>-0.51363271852445802</v>
      </c>
    </row>
    <row r="190" spans="1:9" x14ac:dyDescent="0.2">
      <c r="A190" s="1" t="s">
        <v>190</v>
      </c>
      <c r="B190" t="str">
        <f>HYPERLINK("https://www.suredividend.com/sure-analysis-research-database/","Atea Pharmaceuticals Inc")</f>
        <v>Atea Pharmaceuticals Inc</v>
      </c>
      <c r="C190">
        <v>0.212885154061624</v>
      </c>
      <c r="D190">
        <v>0.43853820598006599</v>
      </c>
      <c r="E190">
        <v>0.29640718562874202</v>
      </c>
      <c r="F190">
        <v>0.41967213114754098</v>
      </c>
      <c r="G190">
        <v>1.8823529411764E-2</v>
      </c>
      <c r="H190">
        <v>-0.26858108108108097</v>
      </c>
      <c r="I190">
        <v>-0.8572841133816741</v>
      </c>
    </row>
    <row r="191" spans="1:9" x14ac:dyDescent="0.2">
      <c r="A191" s="1" t="s">
        <v>191</v>
      </c>
      <c r="B191" t="str">
        <f>HYPERLINK("https://www.suredividend.com/sure-analysis-research-database/","Avanos Medical Inc")</f>
        <v>Avanos Medical Inc</v>
      </c>
      <c r="C191">
        <v>3.2292218104817E-2</v>
      </c>
      <c r="D191">
        <v>-8.9635854341736002E-2</v>
      </c>
      <c r="E191">
        <v>-0.116447666515632</v>
      </c>
      <c r="F191">
        <v>-0.13062862238073999</v>
      </c>
      <c r="G191">
        <v>-0.34891485809682798</v>
      </c>
      <c r="H191">
        <v>-0.32455836508486302</v>
      </c>
      <c r="I191">
        <v>-0.60898335672749104</v>
      </c>
    </row>
    <row r="192" spans="1:9" x14ac:dyDescent="0.2">
      <c r="A192" s="1" t="s">
        <v>192</v>
      </c>
      <c r="B192" t="str">
        <f>HYPERLINK("https://www.suredividend.com/sure-analysis-AVNT/","Avient Corp")</f>
        <v>Avient Corp</v>
      </c>
      <c r="C192">
        <v>5.4768392370572003E-2</v>
      </c>
      <c r="D192">
        <v>0.107544233102153</v>
      </c>
      <c r="E192">
        <v>6.477202711028901E-2</v>
      </c>
      <c r="F192">
        <v>-6.8799615107048004E-2</v>
      </c>
      <c r="G192">
        <v>-7.4550005618205004E-2</v>
      </c>
      <c r="H192">
        <v>-0.22598266809032999</v>
      </c>
      <c r="I192">
        <v>0.19655530552189701</v>
      </c>
    </row>
    <row r="193" spans="1:9" x14ac:dyDescent="0.2">
      <c r="A193" s="1" t="s">
        <v>193</v>
      </c>
      <c r="B193" t="str">
        <f>HYPERLINK("https://www.suredividend.com/sure-analysis-research-database/","Aviat Networks Inc")</f>
        <v>Aviat Networks Inc</v>
      </c>
      <c r="C193">
        <v>0.14856388246946101</v>
      </c>
      <c r="D193">
        <v>0.14667106130520699</v>
      </c>
      <c r="E193">
        <v>0.22284710017574599</v>
      </c>
      <c r="F193">
        <v>6.5217391304347005E-2</v>
      </c>
      <c r="G193">
        <v>-2.6853146853146E-2</v>
      </c>
      <c r="H193">
        <v>0.204222914503288</v>
      </c>
      <c r="I193">
        <v>3.8386648122392208</v>
      </c>
    </row>
    <row r="194" spans="1:9" x14ac:dyDescent="0.2">
      <c r="A194" s="1" t="s">
        <v>194</v>
      </c>
      <c r="B194" t="str">
        <f>HYPERLINK("https://www.suredividend.com/sure-analysis-research-database/","Mission Produce Inc")</f>
        <v>Mission Produce Inc</v>
      </c>
      <c r="C194">
        <v>5.3677932405566002E-2</v>
      </c>
      <c r="D194">
        <v>0.207289293849658</v>
      </c>
      <c r="E194">
        <v>2.2179363548698001E-2</v>
      </c>
      <c r="F194">
        <v>5.0545094152626001E-2</v>
      </c>
      <c r="G194">
        <v>-0.14030819140308101</v>
      </c>
      <c r="H194">
        <v>-0.201807228915662</v>
      </c>
      <c r="I194">
        <v>-0.152</v>
      </c>
    </row>
    <row r="195" spans="1:9" x14ac:dyDescent="0.2">
      <c r="A195" s="1" t="s">
        <v>195</v>
      </c>
      <c r="B195" t="str">
        <f>HYPERLINK("https://www.suredividend.com/sure-analysis-research-database/","AvePoint Inc")</f>
        <v>AvePoint Inc</v>
      </c>
      <c r="C195">
        <v>-2.503128911139E-3</v>
      </c>
      <c r="D195">
        <v>-5.4567022538552001E-2</v>
      </c>
      <c r="E195">
        <v>0.20030120481927699</v>
      </c>
      <c r="F195">
        <v>-2.9232643118148001E-2</v>
      </c>
      <c r="G195">
        <v>0.62985685071574604</v>
      </c>
      <c r="H195">
        <v>0.38850174216027811</v>
      </c>
      <c r="I195">
        <v>-0.18507157464212601</v>
      </c>
    </row>
    <row r="196" spans="1:9" x14ac:dyDescent="0.2">
      <c r="A196" s="1" t="s">
        <v>196</v>
      </c>
      <c r="B196" t="str">
        <f>HYPERLINK("https://www.suredividend.com/sure-analysis-research-database/","Aerovate Therapeutics Inc")</f>
        <v>Aerovate Therapeutics Inc</v>
      </c>
      <c r="C196">
        <v>-7.2520966946225007E-2</v>
      </c>
      <c r="D196">
        <v>0.29565816678153001</v>
      </c>
      <c r="E196">
        <v>0.30646282140375197</v>
      </c>
      <c r="F196">
        <v>-0.16924436588599201</v>
      </c>
      <c r="G196">
        <v>-0.32129963898916902</v>
      </c>
      <c r="H196">
        <v>1.175925925925926</v>
      </c>
      <c r="I196">
        <v>-0.17652212001751999</v>
      </c>
    </row>
    <row r="197" spans="1:9" x14ac:dyDescent="0.2">
      <c r="A197" s="1" t="s">
        <v>197</v>
      </c>
      <c r="B197" t="str">
        <f>HYPERLINK("https://www.suredividend.com/sure-analysis-research-database/","Anavex Life Sciences Corporation")</f>
        <v>Anavex Life Sciences Corporation</v>
      </c>
      <c r="C197">
        <v>-0.114049586776859</v>
      </c>
      <c r="D197">
        <v>-0.23428571428571399</v>
      </c>
      <c r="E197">
        <v>-0.34313725490196001</v>
      </c>
      <c r="F197">
        <v>-0.42427497314715301</v>
      </c>
      <c r="G197">
        <v>-0.49338374291115311</v>
      </c>
      <c r="H197">
        <v>-0.52941176470588203</v>
      </c>
      <c r="I197">
        <v>1.2616033755274261</v>
      </c>
    </row>
    <row r="198" spans="1:9" x14ac:dyDescent="0.2">
      <c r="A198" s="1" t="s">
        <v>198</v>
      </c>
      <c r="B198" t="str">
        <f>HYPERLINK("https://www.suredividend.com/sure-analysis-AWR/","American States Water Co.")</f>
        <v>American States Water Co.</v>
      </c>
      <c r="C198">
        <v>-3.6710334483000012E-5</v>
      </c>
      <c r="D198">
        <v>-3.4891695791586012E-2</v>
      </c>
      <c r="E198">
        <v>-0.108597528336243</v>
      </c>
      <c r="F198">
        <v>-4.6292394472572003E-2</v>
      </c>
      <c r="G198">
        <v>-0.17431242320412599</v>
      </c>
      <c r="H198">
        <v>-7.8890320679497999E-2</v>
      </c>
      <c r="I198">
        <v>0.18968884341093001</v>
      </c>
    </row>
    <row r="199" spans="1:9" x14ac:dyDescent="0.2">
      <c r="A199" s="1" t="s">
        <v>199</v>
      </c>
      <c r="B199" t="str">
        <f>HYPERLINK("https://www.suredividend.com/sure-analysis-research-database/","Axos Financial Inc.")</f>
        <v>Axos Financial Inc.</v>
      </c>
      <c r="C199">
        <v>-2.0661157024790002E-3</v>
      </c>
      <c r="D199">
        <v>0.34234461849418901</v>
      </c>
      <c r="E199">
        <v>0.31379821958456899</v>
      </c>
      <c r="F199">
        <v>-2.6923076923076002E-2</v>
      </c>
      <c r="G199">
        <v>5.7523885350318008E-2</v>
      </c>
      <c r="H199">
        <v>-1.8292682926829E-2</v>
      </c>
      <c r="I199">
        <v>0.62526766595289107</v>
      </c>
    </row>
    <row r="200" spans="1:9" x14ac:dyDescent="0.2">
      <c r="A200" s="1" t="s">
        <v>200</v>
      </c>
      <c r="B200" t="str">
        <f>HYPERLINK("https://www.suredividend.com/sure-analysis-research-database/","Axogen Inc.")</f>
        <v>Axogen Inc.</v>
      </c>
      <c r="C200">
        <v>0.18678815489749401</v>
      </c>
      <c r="D200">
        <v>0.72231404958677603</v>
      </c>
      <c r="E200">
        <v>0.81217391304347808</v>
      </c>
      <c r="F200">
        <v>0.52562225475841806</v>
      </c>
      <c r="G200">
        <v>0.19770114942528699</v>
      </c>
      <c r="H200">
        <v>0.41001353179972899</v>
      </c>
      <c r="I200">
        <v>-0.41029994340690401</v>
      </c>
    </row>
    <row r="201" spans="1:9" x14ac:dyDescent="0.2">
      <c r="A201" s="1" t="s">
        <v>201</v>
      </c>
      <c r="B201" t="str">
        <f>HYPERLINK("https://www.suredividend.com/sure-analysis-research-database/","American Axle &amp; Manufacturing Holdings Inc")</f>
        <v>American Axle &amp; Manufacturing Holdings Inc</v>
      </c>
      <c r="C201">
        <v>2.6595744680851002E-2</v>
      </c>
      <c r="D201">
        <v>7.2222222222222007E-2</v>
      </c>
      <c r="E201">
        <v>3.34672021419E-2</v>
      </c>
      <c r="F201">
        <v>-0.123723041997729</v>
      </c>
      <c r="G201">
        <v>-0.16540540540540499</v>
      </c>
      <c r="H201">
        <v>-6.6505441354292011E-2</v>
      </c>
      <c r="I201">
        <v>-0.54400472533963307</v>
      </c>
    </row>
    <row r="202" spans="1:9" x14ac:dyDescent="0.2">
      <c r="A202" s="1" t="s">
        <v>202</v>
      </c>
      <c r="B202" t="str">
        <f>HYPERLINK("https://www.suredividend.com/sure-analysis-research-database/","Axonics Inc")</f>
        <v>Axonics Inc</v>
      </c>
      <c r="C202">
        <v>-4.4124135902300001E-4</v>
      </c>
      <c r="D202">
        <v>0.17883781439722399</v>
      </c>
      <c r="E202">
        <v>0.122192866578599</v>
      </c>
      <c r="F202">
        <v>9.2077775992286004E-2</v>
      </c>
      <c r="G202">
        <v>0.18376589444347599</v>
      </c>
      <c r="H202">
        <v>0.39119754350051111</v>
      </c>
      <c r="I202">
        <v>2.2162801703738761</v>
      </c>
    </row>
    <row r="203" spans="1:9" x14ac:dyDescent="0.2">
      <c r="A203" s="1" t="s">
        <v>203</v>
      </c>
      <c r="B203" t="str">
        <f>HYPERLINK("https://www.suredividend.com/sure-analysis-research-database/","Axsome Therapeutics Inc")</f>
        <v>Axsome Therapeutics Inc</v>
      </c>
      <c r="C203">
        <v>-4.4849911712772E-2</v>
      </c>
      <c r="D203">
        <v>0.35143237841439001</v>
      </c>
      <c r="E203">
        <v>0.14636903079966099</v>
      </c>
      <c r="F203">
        <v>1.9474808393014E-2</v>
      </c>
      <c r="G203">
        <v>0.21795256679675701</v>
      </c>
      <c r="H203">
        <v>1.743997294555292</v>
      </c>
      <c r="I203">
        <v>8.2414578587699321</v>
      </c>
    </row>
    <row r="204" spans="1:9" x14ac:dyDescent="0.2">
      <c r="A204" s="1" t="s">
        <v>204</v>
      </c>
      <c r="B204" t="str">
        <f>HYPERLINK("https://www.suredividend.com/sure-analysis-research-database/","AZZ Inc")</f>
        <v>AZZ Inc</v>
      </c>
      <c r="C204">
        <v>0.23305446474304201</v>
      </c>
      <c r="D204">
        <v>0.47459378228609</v>
      </c>
      <c r="E204">
        <v>0.576480706556736</v>
      </c>
      <c r="F204">
        <v>0.246638288470235</v>
      </c>
      <c r="G204">
        <v>0.76920909836969109</v>
      </c>
      <c r="H204">
        <v>0.51641452583174907</v>
      </c>
      <c r="I204">
        <v>0.6191663378412311</v>
      </c>
    </row>
    <row r="205" spans="1:9" x14ac:dyDescent="0.2">
      <c r="A205" s="1" t="s">
        <v>205</v>
      </c>
      <c r="B205" t="str">
        <f>HYPERLINK("https://www.suredividend.com/sure-analysis-research-database/","Barnes Group Inc.")</f>
        <v>Barnes Group Inc.</v>
      </c>
      <c r="C205">
        <v>0.162881652022006</v>
      </c>
      <c r="D205">
        <v>0.36377361663742602</v>
      </c>
      <c r="E205">
        <v>-5.2120110833937007E-2</v>
      </c>
      <c r="F205">
        <v>9.8376754309004014E-2</v>
      </c>
      <c r="G205">
        <v>-0.16058711849413801</v>
      </c>
      <c r="H205">
        <v>-0.22527076439372201</v>
      </c>
      <c r="I205">
        <v>-0.37109689655354711</v>
      </c>
    </row>
    <row r="206" spans="1:9" x14ac:dyDescent="0.2">
      <c r="A206" s="1" t="s">
        <v>206</v>
      </c>
      <c r="B206" t="str">
        <f>HYPERLINK("https://www.suredividend.com/sure-analysis-research-database/","Ballys Corporation")</f>
        <v>Ballys Corporation</v>
      </c>
      <c r="C206">
        <v>-6.5851364063970004E-3</v>
      </c>
      <c r="D206">
        <v>-0.10280373831775599</v>
      </c>
      <c r="E206">
        <v>-0.28744939271254999</v>
      </c>
      <c r="F206">
        <v>-0.242467718794834</v>
      </c>
      <c r="G206">
        <v>-0.49570200573065898</v>
      </c>
      <c r="H206">
        <v>-0.6987161198288151</v>
      </c>
      <c r="I206">
        <v>-0.6432034652511931</v>
      </c>
    </row>
    <row r="207" spans="1:9" x14ac:dyDescent="0.2">
      <c r="A207" s="1" t="s">
        <v>207</v>
      </c>
      <c r="B207" t="str">
        <f>HYPERLINK("https://www.suredividend.com/sure-analysis-research-database/","Banc of California Inc")</f>
        <v>Banc of California Inc</v>
      </c>
      <c r="C207">
        <v>0.153354632587859</v>
      </c>
      <c r="D207">
        <v>0.13589880746357799</v>
      </c>
      <c r="E207">
        <v>0.18960332825307799</v>
      </c>
      <c r="F207">
        <v>7.5204765450483005E-2</v>
      </c>
      <c r="G207">
        <v>-0.17297625456752999</v>
      </c>
      <c r="H207">
        <v>-0.22703452115216799</v>
      </c>
      <c r="I207">
        <v>-1.8528336255998E-2</v>
      </c>
    </row>
    <row r="208" spans="1:9" x14ac:dyDescent="0.2">
      <c r="A208" s="1" t="s">
        <v>208</v>
      </c>
      <c r="B208" t="str">
        <f>HYPERLINK("https://www.suredividend.com/sure-analysis-research-database/","Bandwidth Inc")</f>
        <v>Bandwidth Inc</v>
      </c>
      <c r="C208">
        <v>-7.3529411764700009E-3</v>
      </c>
      <c r="D208">
        <v>0.13732097725358</v>
      </c>
      <c r="E208">
        <v>1.0479041916167E-2</v>
      </c>
      <c r="F208">
        <v>-6.7035245335176005E-2</v>
      </c>
      <c r="G208">
        <v>-0.48056944978838001</v>
      </c>
      <c r="H208">
        <v>-0.73694466095089606</v>
      </c>
      <c r="I208">
        <v>-0.73821989528795806</v>
      </c>
    </row>
    <row r="209" spans="1:9" x14ac:dyDescent="0.2">
      <c r="A209" s="1" t="s">
        <v>209</v>
      </c>
      <c r="B209" t="str">
        <f>HYPERLINK("https://www.suredividend.com/sure-analysis-BANF/","Bancfirst Corp.")</f>
        <v>Bancfirst Corp.</v>
      </c>
      <c r="C209">
        <v>-1.4883927579695E-2</v>
      </c>
      <c r="D209">
        <v>2.7655984946096002E-2</v>
      </c>
      <c r="E209">
        <v>-7.043481724176201E-2</v>
      </c>
      <c r="F209">
        <v>-8.8770163361759011E-2</v>
      </c>
      <c r="G209">
        <v>2.1356472871117999E-2</v>
      </c>
      <c r="H209">
        <v>0.19493033727242201</v>
      </c>
      <c r="I209">
        <v>0.74941663099716105</v>
      </c>
    </row>
    <row r="210" spans="1:9" x14ac:dyDescent="0.2">
      <c r="A210" s="1" t="s">
        <v>210</v>
      </c>
      <c r="B210" t="str">
        <f>HYPERLINK("https://www.suredividend.com/sure-analysis-research-database/","Banner Corp.")</f>
        <v>Banner Corp.</v>
      </c>
      <c r="C210">
        <v>-7.6377291163138003E-2</v>
      </c>
      <c r="D210">
        <v>-6.4274236743430014E-3</v>
      </c>
      <c r="E210">
        <v>3.7677578752315997E-2</v>
      </c>
      <c r="F210">
        <v>-0.159841479524438</v>
      </c>
      <c r="G210">
        <v>-0.25443370790280101</v>
      </c>
      <c r="H210">
        <v>-0.21016215449029499</v>
      </c>
      <c r="I210">
        <v>-0.127370232583666</v>
      </c>
    </row>
    <row r="211" spans="1:9" x14ac:dyDescent="0.2">
      <c r="A211" s="1" t="s">
        <v>211</v>
      </c>
      <c r="B211" t="str">
        <f>HYPERLINK("https://www.suredividend.com/sure-analysis-research-database/","BARK Inc")</f>
        <v>BARK Inc</v>
      </c>
      <c r="C211">
        <v>0.251384274640088</v>
      </c>
      <c r="D211">
        <v>0.41515341264871602</v>
      </c>
      <c r="E211">
        <v>-0.15671641791044699</v>
      </c>
      <c r="F211">
        <v>0.402855369335816</v>
      </c>
      <c r="G211">
        <v>-0.27096774193548401</v>
      </c>
      <c r="H211">
        <v>-0.62207357859531709</v>
      </c>
      <c r="I211">
        <v>-0.9088709677419351</v>
      </c>
    </row>
    <row r="212" spans="1:9" x14ac:dyDescent="0.2">
      <c r="A212" s="1" t="s">
        <v>212</v>
      </c>
      <c r="B212" t="str">
        <f>HYPERLINK("https://www.suredividend.com/sure-analysis-research-database/","Couchbase Inc")</f>
        <v>Couchbase Inc</v>
      </c>
      <c r="C212">
        <v>0.12447786131996599</v>
      </c>
      <c r="D212">
        <v>0.41908276225619401</v>
      </c>
      <c r="E212">
        <v>0.82384823848238409</v>
      </c>
      <c r="F212">
        <v>0.19538188277087001</v>
      </c>
      <c r="G212">
        <v>0.68144909431605205</v>
      </c>
      <c r="H212">
        <v>0.314453125</v>
      </c>
      <c r="I212">
        <v>-0.11447368421052601</v>
      </c>
    </row>
    <row r="213" spans="1:9" x14ac:dyDescent="0.2">
      <c r="A213" s="1" t="s">
        <v>213</v>
      </c>
      <c r="B213" t="str">
        <f>HYPERLINK("https://www.suredividend.com/sure-analysis-research-database/","Atlanta Braves Holdings Inc")</f>
        <v>Atlanta Braves Holdings Inc</v>
      </c>
      <c r="C213">
        <v>6.8139097744349996E-3</v>
      </c>
      <c r="D213">
        <v>6.1431756254643997E-2</v>
      </c>
      <c r="E213">
        <v>1.1328770356384001E-2</v>
      </c>
      <c r="F213">
        <v>1.636278634876E-3</v>
      </c>
      <c r="G213">
        <v>-3.6537380550871003E-2</v>
      </c>
      <c r="H213">
        <v>-3.6537380550871003E-2</v>
      </c>
      <c r="I213">
        <v>-3.6537380550871003E-2</v>
      </c>
    </row>
    <row r="214" spans="1:9" x14ac:dyDescent="0.2">
      <c r="A214" s="1" t="s">
        <v>214</v>
      </c>
      <c r="B214" t="str">
        <f>HYPERLINK("https://www.suredividend.com/sure-analysis-research-database/","Atlanta Braves Holdings Inc")</f>
        <v>Atlanta Braves Holdings Inc</v>
      </c>
      <c r="C214">
        <v>6.3147259408940001E-3</v>
      </c>
      <c r="D214">
        <v>0.103601108033241</v>
      </c>
      <c r="E214">
        <v>7.7922077922077004E-2</v>
      </c>
      <c r="F214">
        <v>6.5689742294080004E-3</v>
      </c>
      <c r="G214">
        <v>-6.3469675599435005E-2</v>
      </c>
      <c r="H214">
        <v>-6.3469675599435005E-2</v>
      </c>
      <c r="I214">
        <v>-6.3469675599435005E-2</v>
      </c>
    </row>
    <row r="215" spans="1:9" x14ac:dyDescent="0.2">
      <c r="A215" s="1" t="s">
        <v>215</v>
      </c>
      <c r="B215" t="str">
        <f>HYPERLINK("https://www.suredividend.com/sure-analysis-research-database/","BigBear.ai Holdings Inc")</f>
        <v>BigBear.ai Holdings Inc</v>
      </c>
      <c r="C215">
        <v>0.20338983050847401</v>
      </c>
      <c r="D215">
        <v>0.16393442622950799</v>
      </c>
      <c r="E215">
        <v>0.5</v>
      </c>
      <c r="F215">
        <v>-4.6728971962610001E-3</v>
      </c>
      <c r="G215">
        <v>-0.45524296675191811</v>
      </c>
      <c r="H215">
        <v>-0.58235294117647007</v>
      </c>
      <c r="I215">
        <v>-0.7833163784333671</v>
      </c>
    </row>
    <row r="216" spans="1:9" x14ac:dyDescent="0.2">
      <c r="A216" s="1" t="s">
        <v>216</v>
      </c>
      <c r="B216" t="str">
        <f>HYPERLINK("https://www.suredividend.com/sure-analysis-research-database/","Concrete Pumping Holdings Inc")</f>
        <v>Concrete Pumping Holdings Inc</v>
      </c>
      <c r="C216">
        <v>4.4642857142857012E-2</v>
      </c>
      <c r="D216">
        <v>9.0545938748335011E-2</v>
      </c>
      <c r="E216">
        <v>4.8655569782330002E-2</v>
      </c>
      <c r="F216">
        <v>-1.2195121951209999E-3</v>
      </c>
      <c r="G216">
        <v>3.9340101522842001E-2</v>
      </c>
      <c r="H216">
        <v>4.0660736975857002E-2</v>
      </c>
      <c r="I216">
        <v>2.7603513174402999E-2</v>
      </c>
    </row>
    <row r="217" spans="1:9" x14ac:dyDescent="0.2">
      <c r="A217" s="1" t="s">
        <v>217</v>
      </c>
      <c r="B217" t="str">
        <f>HYPERLINK("https://www.suredividend.com/sure-analysis-research-database/","BridgeBio Pharma Inc")</f>
        <v>BridgeBio Pharma Inc</v>
      </c>
      <c r="C217">
        <v>-1.8831877729256999E-2</v>
      </c>
      <c r="D217">
        <v>0.22948016415868699</v>
      </c>
      <c r="E217">
        <v>0.251740947075209</v>
      </c>
      <c r="F217">
        <v>-0.10948724300222901</v>
      </c>
      <c r="G217">
        <v>1.7442748091603051</v>
      </c>
      <c r="H217">
        <v>3.4492574257425739</v>
      </c>
      <c r="I217">
        <v>0.30490018148820303</v>
      </c>
    </row>
    <row r="218" spans="1:9" x14ac:dyDescent="0.2">
      <c r="A218" s="1" t="s">
        <v>218</v>
      </c>
      <c r="B218" t="str">
        <f>HYPERLINK("https://www.suredividend.com/sure-analysis-research-database/","Barrett Business Services Inc.")</f>
        <v>Barrett Business Services Inc.</v>
      </c>
      <c r="C218">
        <v>-2.91159343568E-3</v>
      </c>
      <c r="D218">
        <v>2.1605496293617001E-2</v>
      </c>
      <c r="E218">
        <v>0.19298586384063099</v>
      </c>
      <c r="F218">
        <v>-2.4093264248704001E-2</v>
      </c>
      <c r="G218">
        <v>0.15777190633327101</v>
      </c>
      <c r="H218">
        <v>0.92137347345083809</v>
      </c>
      <c r="I218">
        <v>0.71072529848001109</v>
      </c>
    </row>
    <row r="219" spans="1:9" x14ac:dyDescent="0.2">
      <c r="A219" s="1" t="s">
        <v>219</v>
      </c>
      <c r="B219" t="str">
        <f>HYPERLINK("https://www.suredividend.com/sure-analysis-research-database/","Brookfield Business Corp")</f>
        <v>Brookfield Business Corp</v>
      </c>
      <c r="C219">
        <v>6.8414038205242E-2</v>
      </c>
      <c r="D219">
        <v>0.48737739186364298</v>
      </c>
      <c r="E219">
        <v>0.28360455372725601</v>
      </c>
      <c r="F219">
        <v>3.3075601374570003E-2</v>
      </c>
      <c r="G219">
        <v>0.16007601995041301</v>
      </c>
      <c r="H219">
        <v>-0.14107142857142799</v>
      </c>
      <c r="I219">
        <v>-0.14107142857142799</v>
      </c>
    </row>
    <row r="220" spans="1:9" x14ac:dyDescent="0.2">
      <c r="A220" s="1" t="s">
        <v>220</v>
      </c>
      <c r="B220" t="str">
        <f>HYPERLINK("https://www.suredividend.com/sure-analysis-research-database/","Build A Bear Workshop Inc")</f>
        <v>Build A Bear Workshop Inc</v>
      </c>
      <c r="C220">
        <v>4.9567985447930001E-2</v>
      </c>
      <c r="D220">
        <v>-0.13330829891100199</v>
      </c>
      <c r="E220">
        <v>-9.0264091446590006E-2</v>
      </c>
      <c r="F220">
        <v>3.9147455415390001E-3</v>
      </c>
      <c r="G220">
        <v>6.7263495704125001E-2</v>
      </c>
      <c r="H220">
        <v>0.17536819376260401</v>
      </c>
      <c r="I220">
        <v>4.0725274725274723</v>
      </c>
    </row>
    <row r="221" spans="1:9" x14ac:dyDescent="0.2">
      <c r="A221" s="1" t="s">
        <v>221</v>
      </c>
      <c r="B221" t="str">
        <f>HYPERLINK("https://www.suredividend.com/sure-analysis-research-database/","BioAtla Inc")</f>
        <v>BioAtla Inc</v>
      </c>
      <c r="C221">
        <v>0.21717171717171699</v>
      </c>
      <c r="D221">
        <v>0.44311377245508998</v>
      </c>
      <c r="E221">
        <v>-5.1181102362204002E-2</v>
      </c>
      <c r="F221">
        <v>-2.0325203252031999E-2</v>
      </c>
      <c r="G221">
        <v>-0.35215053763440801</v>
      </c>
      <c r="H221">
        <v>-0.64296296296296307</v>
      </c>
      <c r="I221">
        <v>-0.9223081882656351</v>
      </c>
    </row>
    <row r="222" spans="1:9" x14ac:dyDescent="0.2">
      <c r="A222" s="1" t="s">
        <v>222</v>
      </c>
      <c r="B222" t="str">
        <f>HYPERLINK("https://www.suredividend.com/sure-analysis-research-database/","BCB Bancorp Inc (NJ)")</f>
        <v>BCB Bancorp Inc (NJ)</v>
      </c>
      <c r="C222">
        <v>-0.13603993132828801</v>
      </c>
      <c r="D222">
        <v>-3.8384982174293002E-2</v>
      </c>
      <c r="E222">
        <v>-3.9037442955840002E-3</v>
      </c>
      <c r="F222">
        <v>-0.13267585854717201</v>
      </c>
      <c r="G222">
        <v>-0.30924041864987301</v>
      </c>
      <c r="H222">
        <v>-0.32350012447099802</v>
      </c>
      <c r="I222">
        <v>0.17677626094769899</v>
      </c>
    </row>
    <row r="223" spans="1:9" x14ac:dyDescent="0.2">
      <c r="A223" s="1" t="s">
        <v>223</v>
      </c>
      <c r="B223" t="str">
        <f>HYPERLINK("https://www.suredividend.com/sure-analysis-research-database/","Boise Cascade Co")</f>
        <v>Boise Cascade Co</v>
      </c>
      <c r="C223">
        <v>1.8210431654676E-2</v>
      </c>
      <c r="D223">
        <v>0.25537161753251603</v>
      </c>
      <c r="E223">
        <v>0.35754066027612402</v>
      </c>
      <c r="F223">
        <v>5.0324675324675001E-2</v>
      </c>
      <c r="G223">
        <v>0.91316077759910708</v>
      </c>
      <c r="H223">
        <v>0.74103916473175102</v>
      </c>
      <c r="I223">
        <v>4.5222279123076552</v>
      </c>
    </row>
    <row r="224" spans="1:9" x14ac:dyDescent="0.2">
      <c r="A224" s="1" t="s">
        <v>224</v>
      </c>
      <c r="B224" t="str">
        <f>HYPERLINK("https://www.suredividend.com/sure-analysis-research-database/","BayCom Corp")</f>
        <v>BayCom Corp</v>
      </c>
      <c r="C224">
        <v>-7.3728418105459007E-2</v>
      </c>
      <c r="D224">
        <v>-5.3594671523450002E-2</v>
      </c>
      <c r="E224">
        <v>2.8918572887347001E-2</v>
      </c>
      <c r="F224">
        <v>-0.15854175498092399</v>
      </c>
      <c r="G224">
        <v>3.0157403899548001E-2</v>
      </c>
      <c r="H224">
        <v>-7.933489483082401E-2</v>
      </c>
      <c r="I224">
        <v>-9.0609223100816011E-2</v>
      </c>
    </row>
    <row r="225" spans="1:9" x14ac:dyDescent="0.2">
      <c r="A225" s="1" t="s">
        <v>225</v>
      </c>
      <c r="B225" t="str">
        <f>HYPERLINK("https://www.suredividend.com/sure-analysis-research-database/","Brink`s Co.")</f>
        <v>Brink`s Co.</v>
      </c>
      <c r="C225">
        <v>-7.4870134482139996E-3</v>
      </c>
      <c r="D225">
        <v>4.1350813808272997E-2</v>
      </c>
      <c r="E225">
        <v>0.112292860328678</v>
      </c>
      <c r="F225">
        <v>-7.5986830104702002E-2</v>
      </c>
      <c r="G225">
        <v>0.28297872677222802</v>
      </c>
      <c r="H225">
        <v>0.20158986424480699</v>
      </c>
      <c r="I225">
        <v>8.2842458112500003E-2</v>
      </c>
    </row>
    <row r="226" spans="1:9" x14ac:dyDescent="0.2">
      <c r="A226" s="1" t="s">
        <v>226</v>
      </c>
      <c r="B226" t="str">
        <f>HYPERLINK("https://www.suredividend.com/sure-analysis-research-database/","Brightcove Inc")</f>
        <v>Brightcove Inc</v>
      </c>
      <c r="C226">
        <v>-0.1484375</v>
      </c>
      <c r="D226">
        <v>-0.16475095785440599</v>
      </c>
      <c r="E226">
        <v>-0.44810126582278398</v>
      </c>
      <c r="F226">
        <v>-0.15830115830115801</v>
      </c>
      <c r="G226">
        <v>-0.691654879773691</v>
      </c>
      <c r="H226">
        <v>-0.70816599732262309</v>
      </c>
      <c r="I226">
        <v>-0.74109263657957203</v>
      </c>
    </row>
    <row r="227" spans="1:9" x14ac:dyDescent="0.2">
      <c r="A227" s="1" t="s">
        <v>227</v>
      </c>
      <c r="B227" t="str">
        <f>HYPERLINK("https://www.suredividend.com/sure-analysis-BCPC/","Balchem Corp.")</f>
        <v>Balchem Corp.</v>
      </c>
      <c r="C227">
        <v>9.7349951597289014E-2</v>
      </c>
      <c r="D227">
        <v>0.23661251217044299</v>
      </c>
      <c r="E227">
        <v>0.13709745170298099</v>
      </c>
      <c r="F227">
        <v>5.1786128508466013E-2</v>
      </c>
      <c r="G227">
        <v>0.123967331387858</v>
      </c>
      <c r="H227">
        <v>0.122742073268871</v>
      </c>
      <c r="I227">
        <v>6.3707498912070004E-2</v>
      </c>
    </row>
    <row r="228" spans="1:9" x14ac:dyDescent="0.2">
      <c r="A228" s="1" t="s">
        <v>228</v>
      </c>
      <c r="B228" t="str">
        <f>HYPERLINK("https://www.suredividend.com/sure-analysis-research-database/","Biocryst Pharmaceuticals Inc.")</f>
        <v>Biocryst Pharmaceuticals Inc.</v>
      </c>
      <c r="C228">
        <v>2.6455026455025999E-2</v>
      </c>
      <c r="D228">
        <v>7.7777777777777002E-2</v>
      </c>
      <c r="E228">
        <v>-0.18258426966292099</v>
      </c>
      <c r="F228">
        <v>-2.8380634390650999E-2</v>
      </c>
      <c r="G228">
        <v>-0.42941176470588199</v>
      </c>
      <c r="H228">
        <v>-0.68943436499466304</v>
      </c>
      <c r="I228">
        <v>-0.35189309576837402</v>
      </c>
    </row>
    <row r="229" spans="1:9" x14ac:dyDescent="0.2">
      <c r="A229" s="1" t="s">
        <v>229</v>
      </c>
      <c r="B229" t="str">
        <f>HYPERLINK("https://www.suredividend.com/sure-analysis-research-database/","Belden Inc")</f>
        <v>Belden Inc</v>
      </c>
      <c r="C229">
        <v>9.5627298733142005E-2</v>
      </c>
      <c r="D229">
        <v>0.160569217138849</v>
      </c>
      <c r="E229">
        <v>-5.6951101689349998E-2</v>
      </c>
      <c r="F229">
        <v>4.1165048543689013E-2</v>
      </c>
      <c r="G229">
        <v>-0.102158369752683</v>
      </c>
      <c r="H229">
        <v>0.46472050481228899</v>
      </c>
      <c r="I229">
        <v>0.28468062676697498</v>
      </c>
    </row>
    <row r="230" spans="1:9" x14ac:dyDescent="0.2">
      <c r="A230" s="1" t="s">
        <v>230</v>
      </c>
      <c r="B230" t="str">
        <f>HYPERLINK("https://www.suredividend.com/sure-analysis-BDN/","Brandywine Realty Trust")</f>
        <v>Brandywine Realty Trust</v>
      </c>
      <c r="C230">
        <v>-0.18307086614173201</v>
      </c>
      <c r="D230">
        <v>3.0415890751086E-2</v>
      </c>
      <c r="E230">
        <v>-4.6042801645863003E-2</v>
      </c>
      <c r="F230">
        <v>-0.210020368149544</v>
      </c>
      <c r="G230">
        <v>-0.26148699149375298</v>
      </c>
      <c r="H230">
        <v>-0.60910272591978609</v>
      </c>
      <c r="I230">
        <v>-0.602908812553822</v>
      </c>
    </row>
    <row r="231" spans="1:9" x14ac:dyDescent="0.2">
      <c r="A231" s="1" t="s">
        <v>231</v>
      </c>
      <c r="B231" t="str">
        <f>HYPERLINK("https://www.suredividend.com/sure-analysis-research-database/","Bloom Energy Corp")</f>
        <v>Bloom Energy Corp</v>
      </c>
      <c r="C231">
        <v>-0.21754385964912201</v>
      </c>
      <c r="D231">
        <v>-0.306376360808709</v>
      </c>
      <c r="E231">
        <v>-0.38440303657694902</v>
      </c>
      <c r="F231">
        <v>-0.39729729729729701</v>
      </c>
      <c r="G231">
        <v>-0.62026394210302205</v>
      </c>
      <c r="H231">
        <v>-0.51389645776566706</v>
      </c>
      <c r="I231">
        <v>-0.27831715210355901</v>
      </c>
    </row>
    <row r="232" spans="1:9" x14ac:dyDescent="0.2">
      <c r="A232" s="1" t="s">
        <v>232</v>
      </c>
      <c r="B232" t="str">
        <f>HYPERLINK("https://www.suredividend.com/sure-analysis-research-database/","Beam Therapeutics Inc")</f>
        <v>Beam Therapeutics Inc</v>
      </c>
      <c r="C232">
        <v>0.34233853946812998</v>
      </c>
      <c r="D232">
        <v>3.3810143042912001E-2</v>
      </c>
      <c r="E232">
        <v>0.36246786632390698</v>
      </c>
      <c r="F232">
        <v>0.16825863335782501</v>
      </c>
      <c r="G232">
        <v>-0.26337734537873497</v>
      </c>
      <c r="H232">
        <v>-0.52551477170993699</v>
      </c>
      <c r="I232">
        <v>-0.46929238985313698</v>
      </c>
    </row>
    <row r="233" spans="1:9" x14ac:dyDescent="0.2">
      <c r="A233" s="1" t="s">
        <v>233</v>
      </c>
      <c r="B233" t="str">
        <f>HYPERLINK("https://www.suredividend.com/sure-analysis-research-database/","Beacon Roofing Supply Inc")</f>
        <v>Beacon Roofing Supply Inc</v>
      </c>
      <c r="C233">
        <v>-6.2272353424970006E-3</v>
      </c>
      <c r="D233">
        <v>3.5884874464176E-2</v>
      </c>
      <c r="E233">
        <v>7.6081424936386005E-2</v>
      </c>
      <c r="F233">
        <v>-2.8039531142266001E-2</v>
      </c>
      <c r="G233">
        <v>0.37797328119908702</v>
      </c>
      <c r="H233">
        <v>0.49831709477413599</v>
      </c>
      <c r="I233">
        <v>1.3021230266739241</v>
      </c>
    </row>
    <row r="234" spans="1:9" x14ac:dyDescent="0.2">
      <c r="A234" s="1" t="s">
        <v>234</v>
      </c>
      <c r="B234" t="str">
        <f>HYPERLINK("https://www.suredividend.com/sure-analysis-research-database/","Bel Fuse Inc.")</f>
        <v>Bel Fuse Inc.</v>
      </c>
      <c r="C234">
        <v>8.494921514312001E-2</v>
      </c>
      <c r="D234">
        <v>0.30467127835578101</v>
      </c>
      <c r="E234">
        <v>0.45862169560116911</v>
      </c>
      <c r="F234">
        <v>5.8274127524283008E-2</v>
      </c>
      <c r="G234">
        <v>0.82514821239029601</v>
      </c>
      <c r="H234">
        <v>4.9850247041445233</v>
      </c>
      <c r="I234">
        <v>2.0504954350742071</v>
      </c>
    </row>
    <row r="235" spans="1:9" x14ac:dyDescent="0.2">
      <c r="A235" s="1" t="s">
        <v>235</v>
      </c>
      <c r="B235" t="str">
        <f>HYPERLINK("https://www.suredividend.com/sure-analysis-research-database/","Bank First Corp")</f>
        <v>Bank First Corp</v>
      </c>
      <c r="C235">
        <v>-4.5657015590200002E-2</v>
      </c>
      <c r="D235">
        <v>2.1151052905632999E-2</v>
      </c>
      <c r="E235">
        <v>8.5802467571628002E-2</v>
      </c>
      <c r="F235">
        <v>-1.1077775213477E-2</v>
      </c>
      <c r="G235">
        <v>4.6161733918467E-2</v>
      </c>
      <c r="H235">
        <v>0.26573304700492301</v>
      </c>
      <c r="I235">
        <v>0.69799470193951807</v>
      </c>
    </row>
    <row r="236" spans="1:9" x14ac:dyDescent="0.2">
      <c r="A236" s="1" t="s">
        <v>236</v>
      </c>
      <c r="B236" t="str">
        <f>HYPERLINK("https://www.suredividend.com/sure-analysis-research-database/","Bread Financial Holdings Inc")</f>
        <v>Bread Financial Holdings Inc</v>
      </c>
      <c r="C236">
        <v>0.25654415388919199</v>
      </c>
      <c r="D236">
        <v>0.38338906488325603</v>
      </c>
      <c r="E236">
        <v>1.146306940036E-2</v>
      </c>
      <c r="F236">
        <v>0.15240591077635399</v>
      </c>
      <c r="G236">
        <v>-5.0652817721817997E-2</v>
      </c>
      <c r="H236">
        <v>-0.46482269503546098</v>
      </c>
      <c r="I236">
        <v>-0.7203901050852981</v>
      </c>
    </row>
    <row r="237" spans="1:9" x14ac:dyDescent="0.2">
      <c r="A237" s="1" t="s">
        <v>237</v>
      </c>
      <c r="B237" t="str">
        <f>HYPERLINK("https://www.suredividend.com/sure-analysis-research-database/","Butterfly Network Inc")</f>
        <v>Butterfly Network Inc</v>
      </c>
      <c r="C237">
        <v>-4.7169811320754013E-2</v>
      </c>
      <c r="D237">
        <v>-5.6074766355140013E-2</v>
      </c>
      <c r="E237">
        <v>-0.44198895027624302</v>
      </c>
      <c r="F237">
        <v>-6.4814814814814006E-2</v>
      </c>
      <c r="G237">
        <v>-0.58436213991769503</v>
      </c>
      <c r="H237">
        <v>-0.80688336520076409</v>
      </c>
      <c r="I237">
        <v>-0.8979797979797981</v>
      </c>
    </row>
    <row r="238" spans="1:9" x14ac:dyDescent="0.2">
      <c r="A238" s="1" t="s">
        <v>238</v>
      </c>
      <c r="B238" t="str">
        <f>HYPERLINK("https://www.suredividend.com/sure-analysis-BFS/","Saul Centers, Inc.")</f>
        <v>Saul Centers, Inc.</v>
      </c>
      <c r="C238">
        <v>-5.5655758825044997E-2</v>
      </c>
      <c r="D238">
        <v>3.4139294189350002E-2</v>
      </c>
      <c r="E238">
        <v>2.7298387435845999E-2</v>
      </c>
      <c r="F238">
        <v>-5.2763526872827003E-2</v>
      </c>
      <c r="G238">
        <v>-6.364409789198501E-2</v>
      </c>
      <c r="H238">
        <v>-0.117233339435222</v>
      </c>
      <c r="I238">
        <v>-0.16607886413797801</v>
      </c>
    </row>
    <row r="239" spans="1:9" x14ac:dyDescent="0.2">
      <c r="A239" s="1" t="s">
        <v>239</v>
      </c>
      <c r="B239" t="str">
        <f>HYPERLINK("https://www.suredividend.com/sure-analysis-research-database/","Business First Bancshares Inc.")</f>
        <v>Business First Bancshares Inc.</v>
      </c>
      <c r="C239">
        <v>-1.0107002297649E-2</v>
      </c>
      <c r="D239">
        <v>8.9355399763225013E-2</v>
      </c>
      <c r="E239">
        <v>0.15358224432624201</v>
      </c>
      <c r="F239">
        <v>-8.0784868304755009E-2</v>
      </c>
      <c r="G239">
        <v>0.16578554968144199</v>
      </c>
      <c r="H239">
        <v>-0.10690748743839</v>
      </c>
      <c r="I239">
        <v>5.5822606691913003E-2</v>
      </c>
    </row>
    <row r="240" spans="1:9" x14ac:dyDescent="0.2">
      <c r="A240" s="1" t="s">
        <v>240</v>
      </c>
      <c r="B240" t="str">
        <f>HYPERLINK("https://www.suredividend.com/sure-analysis-research-database/","BGC Group Inc")</f>
        <v>BGC Group Inc</v>
      </c>
      <c r="C240">
        <v>2.0143884892086E-2</v>
      </c>
      <c r="D240">
        <v>8.5758039816232007E-2</v>
      </c>
      <c r="E240">
        <v>0.42816856014825511</v>
      </c>
      <c r="F240">
        <v>-1.8005540166203999E-2</v>
      </c>
      <c r="G240">
        <v>0.45728849790347698</v>
      </c>
      <c r="H240">
        <v>0.45728849790347698</v>
      </c>
      <c r="I240">
        <v>0.45728849790347698</v>
      </c>
    </row>
    <row r="241" spans="1:9" x14ac:dyDescent="0.2">
      <c r="A241" s="1" t="s">
        <v>241</v>
      </c>
      <c r="B241" t="str">
        <f>HYPERLINK("https://www.suredividend.com/sure-analysis-research-database/","Big 5 Sporting Goods Corp")</f>
        <v>Big 5 Sporting Goods Corp</v>
      </c>
      <c r="C241">
        <v>0.12842105263157899</v>
      </c>
      <c r="D241">
        <v>-6.0821836522770003E-3</v>
      </c>
      <c r="E241">
        <v>-0.33006699330066902</v>
      </c>
      <c r="F241">
        <v>-0.15457413249211299</v>
      </c>
      <c r="G241">
        <v>-0.337723796226508</v>
      </c>
      <c r="H241">
        <v>-0.54931472294627004</v>
      </c>
      <c r="I241">
        <v>1.3841295258428961</v>
      </c>
    </row>
    <row r="242" spans="1:9" x14ac:dyDescent="0.2">
      <c r="A242" s="1" t="s">
        <v>242</v>
      </c>
      <c r="B242" t="str">
        <f>HYPERLINK("https://www.suredividend.com/sure-analysis-BGS/","B&amp;G Foods, Inc")</f>
        <v>B&amp;G Foods, Inc</v>
      </c>
      <c r="C242">
        <v>-1.7206477732793001E-2</v>
      </c>
      <c r="D242">
        <v>4.5806541945351012E-2</v>
      </c>
      <c r="E242">
        <v>-0.196949898274806</v>
      </c>
      <c r="F242">
        <v>-7.5238095238095007E-2</v>
      </c>
      <c r="G242">
        <v>-0.17036910457963</v>
      </c>
      <c r="H242">
        <v>-0.64315508237568308</v>
      </c>
      <c r="I242">
        <v>-0.47464101371019202</v>
      </c>
    </row>
    <row r="243" spans="1:9" x14ac:dyDescent="0.2">
      <c r="A243" s="1" t="s">
        <v>243</v>
      </c>
      <c r="B243" t="str">
        <f>HYPERLINK("https://www.suredividend.com/sure-analysis-research-database/","Bright Green Corp")</f>
        <v>Bright Green Corp</v>
      </c>
      <c r="C243">
        <v>-0.22222222222222199</v>
      </c>
      <c r="D243">
        <v>-0.333756345177664</v>
      </c>
      <c r="E243">
        <v>-0.6818181818181811</v>
      </c>
      <c r="F243">
        <v>-0.36382914268403499</v>
      </c>
      <c r="G243">
        <v>-0.78571428571428503</v>
      </c>
      <c r="H243">
        <v>-0.99168152109328511</v>
      </c>
      <c r="I243">
        <v>-0.99168152109328511</v>
      </c>
    </row>
    <row r="244" spans="1:9" x14ac:dyDescent="0.2">
      <c r="A244" s="1" t="s">
        <v>244</v>
      </c>
      <c r="B244" t="str">
        <f>HYPERLINK("https://www.suredividend.com/sure-analysis-research-database/","Biglari Holdings Inc.")</f>
        <v>Biglari Holdings Inc.</v>
      </c>
      <c r="C244">
        <v>-4.6235138705400002E-4</v>
      </c>
      <c r="D244">
        <v>4.9517997087175997E-2</v>
      </c>
      <c r="E244">
        <v>-0.175313351498637</v>
      </c>
      <c r="F244">
        <v>-8.2459225125810012E-2</v>
      </c>
      <c r="G244">
        <v>-0.116063084112149</v>
      </c>
      <c r="H244">
        <v>0.30142758857929097</v>
      </c>
      <c r="I244">
        <v>0.104759818951671</v>
      </c>
    </row>
    <row r="245" spans="1:9" x14ac:dyDescent="0.2">
      <c r="A245" s="1" t="s">
        <v>245</v>
      </c>
      <c r="B245" t="str">
        <f>HYPERLINK("https://www.suredividend.com/sure-analysis-BHB/","Bar Harbor Bankshares Inc")</f>
        <v>Bar Harbor Bankshares Inc</v>
      </c>
      <c r="C245">
        <v>-6.1926297407424002E-2</v>
      </c>
      <c r="D245">
        <v>-3.5536305497903001E-2</v>
      </c>
      <c r="E245">
        <v>2.1884755463059E-2</v>
      </c>
      <c r="F245">
        <v>-0.12423100236185899</v>
      </c>
      <c r="G245">
        <v>-0.10451589003426601</v>
      </c>
      <c r="H245">
        <v>-3.8733606087255013E-2</v>
      </c>
      <c r="I245">
        <v>0.210545323221379</v>
      </c>
    </row>
    <row r="246" spans="1:9" x14ac:dyDescent="0.2">
      <c r="A246" s="1" t="s">
        <v>246</v>
      </c>
      <c r="B246" t="str">
        <f>HYPERLINK("https://www.suredividend.com/sure-analysis-research-database/","Benchmark Electronics Inc.")</f>
        <v>Benchmark Electronics Inc.</v>
      </c>
      <c r="C246">
        <v>0.13124274099883801</v>
      </c>
      <c r="D246">
        <v>0.14363096962058899</v>
      </c>
      <c r="E246">
        <v>0.16423619411905299</v>
      </c>
      <c r="F246">
        <v>5.7163531114327003E-2</v>
      </c>
      <c r="G246">
        <v>0.206296521060649</v>
      </c>
      <c r="H246">
        <v>0.20619692960548799</v>
      </c>
      <c r="I246">
        <v>0.181957551462884</v>
      </c>
    </row>
    <row r="247" spans="1:9" x14ac:dyDescent="0.2">
      <c r="A247" s="1" t="s">
        <v>247</v>
      </c>
      <c r="B247" t="str">
        <f>HYPERLINK("https://www.suredividend.com/sure-analysis-research-database/","Benson Hill Inc")</f>
        <v>Benson Hill Inc</v>
      </c>
      <c r="C247">
        <v>0.155357142857142</v>
      </c>
      <c r="D247">
        <v>-0.223910435825669</v>
      </c>
      <c r="E247">
        <v>-0.72611824467334507</v>
      </c>
      <c r="F247">
        <v>0.11680092059838799</v>
      </c>
      <c r="G247">
        <v>-0.91560869565217406</v>
      </c>
      <c r="H247">
        <v>-0.9316549295774641</v>
      </c>
      <c r="I247">
        <v>-0.97277699859747513</v>
      </c>
    </row>
    <row r="248" spans="1:9" x14ac:dyDescent="0.2">
      <c r="A248" s="1" t="s">
        <v>248</v>
      </c>
      <c r="B248" t="str">
        <f>HYPERLINK("https://www.suredividend.com/sure-analysis-research-database/","Berkshire Hills Bancorp Inc.")</f>
        <v>Berkshire Hills Bancorp Inc.</v>
      </c>
      <c r="C248">
        <v>-4.6610169491525001E-2</v>
      </c>
      <c r="D248">
        <v>5.0910789350770001E-2</v>
      </c>
      <c r="E248">
        <v>3.4563621064634002E-2</v>
      </c>
      <c r="F248">
        <v>-9.3838099073701012E-2</v>
      </c>
      <c r="G248">
        <v>-0.238197134266908</v>
      </c>
      <c r="H248">
        <v>-0.24196482716798001</v>
      </c>
      <c r="I248">
        <v>-0.15908912534056799</v>
      </c>
    </row>
    <row r="249" spans="1:9" x14ac:dyDescent="0.2">
      <c r="A249" s="1" t="s">
        <v>249</v>
      </c>
      <c r="B249" t="str">
        <f>HYPERLINK("https://www.suredividend.com/sure-analysis-research-database/","Braemar Hotels &amp; Resorts Inc")</f>
        <v>Braemar Hotels &amp; Resorts Inc</v>
      </c>
      <c r="C249">
        <v>-2.6086956521738001E-2</v>
      </c>
      <c r="D249">
        <v>1.9432940426887001E-2</v>
      </c>
      <c r="E249">
        <v>-4.2857753279494003E-2</v>
      </c>
      <c r="F249">
        <v>-0.103999999999999</v>
      </c>
      <c r="G249">
        <v>-0.50055741360089101</v>
      </c>
      <c r="H249">
        <v>-0.60516110836917403</v>
      </c>
      <c r="I249">
        <v>-0.78254749492772602</v>
      </c>
    </row>
    <row r="250" spans="1:9" x14ac:dyDescent="0.2">
      <c r="A250" s="1" t="s">
        <v>250</v>
      </c>
      <c r="B250" t="str">
        <f>HYPERLINK("https://www.suredividend.com/sure-analysis-research-database/","Burke &amp; Herbert Financial Services Corp.")</f>
        <v>Burke &amp; Herbert Financial Services Corp.</v>
      </c>
      <c r="C250">
        <v>-3.2045299858964003E-2</v>
      </c>
      <c r="D250">
        <v>0.18821262072158401</v>
      </c>
      <c r="E250">
        <v>9.6470747201694004E-2</v>
      </c>
      <c r="F250">
        <v>-0.10591170918636</v>
      </c>
      <c r="G250">
        <v>-0.27389482133575399</v>
      </c>
      <c r="H250">
        <v>-0.27389482133575399</v>
      </c>
      <c r="I250">
        <v>-0.27389482133575399</v>
      </c>
    </row>
    <row r="251" spans="1:9" x14ac:dyDescent="0.2">
      <c r="A251" s="1" t="s">
        <v>251</v>
      </c>
      <c r="B251" t="str">
        <f>HYPERLINK("https://www.suredividend.com/sure-analysis-research-database/","Biohaven Ltd")</f>
        <v>Biohaven Ltd</v>
      </c>
      <c r="C251">
        <v>6.5163472378805001E-2</v>
      </c>
      <c r="D251">
        <v>0.54379084967320201</v>
      </c>
      <c r="E251">
        <v>1.451478982874935</v>
      </c>
      <c r="F251">
        <v>0.10373831775700899</v>
      </c>
      <c r="G251">
        <v>1.8612961841308291</v>
      </c>
      <c r="H251">
        <v>5.4712328767123291</v>
      </c>
      <c r="I251">
        <v>5.4712328767123291</v>
      </c>
    </row>
    <row r="252" spans="1:9" x14ac:dyDescent="0.2">
      <c r="A252" s="1" t="s">
        <v>252</v>
      </c>
      <c r="B252" t="str">
        <f>HYPERLINK("https://www.suredividend.com/sure-analysis-research-database/","Big Lots Inc")</f>
        <v>Big Lots Inc</v>
      </c>
      <c r="C252">
        <v>-0.30016313213703</v>
      </c>
      <c r="D252">
        <v>5.4054054054053002E-2</v>
      </c>
      <c r="E252">
        <v>-0.41393442622950799</v>
      </c>
      <c r="F252">
        <v>-0.44929396662387611</v>
      </c>
      <c r="G252">
        <v>-0.73793364650975202</v>
      </c>
      <c r="H252">
        <v>-0.8740783356032491</v>
      </c>
      <c r="I252">
        <v>-0.84121931720605203</v>
      </c>
    </row>
    <row r="253" spans="1:9" x14ac:dyDescent="0.2">
      <c r="A253" s="1" t="s">
        <v>253</v>
      </c>
      <c r="B253" t="str">
        <f>HYPERLINK("https://www.suredividend.com/sure-analysis-research-database/","BigCommerce Holdings Inc")</f>
        <v>BigCommerce Holdings Inc</v>
      </c>
      <c r="C253">
        <v>1.2106537530266E-2</v>
      </c>
      <c r="D253">
        <v>-0.106837606837606</v>
      </c>
      <c r="E253">
        <v>-0.220149253731343</v>
      </c>
      <c r="F253">
        <v>-0.140801644398766</v>
      </c>
      <c r="G253">
        <v>-0.247524752475247</v>
      </c>
      <c r="H253">
        <v>-0.66982622432859407</v>
      </c>
      <c r="I253">
        <v>-0.88432267884322602</v>
      </c>
    </row>
    <row r="254" spans="1:9" x14ac:dyDescent="0.2">
      <c r="A254" s="1" t="s">
        <v>254</v>
      </c>
      <c r="B254" t="str">
        <f>HYPERLINK("https://www.suredividend.com/sure-analysis-research-database/","Brookfield Infrastructure Corp")</f>
        <v>Brookfield Infrastructure Corp</v>
      </c>
      <c r="C254">
        <v>6.0806916426513008E-2</v>
      </c>
      <c r="D254">
        <v>0.17045158254211501</v>
      </c>
      <c r="E254">
        <v>-4.2657775512220997E-2</v>
      </c>
      <c r="F254">
        <v>4.3367346938775003E-2</v>
      </c>
      <c r="G254">
        <v>-0.119184126649884</v>
      </c>
      <c r="H254">
        <v>-0.12754525222024399</v>
      </c>
      <c r="I254">
        <v>0.9297509829619921</v>
      </c>
    </row>
    <row r="255" spans="1:9" x14ac:dyDescent="0.2">
      <c r="A255" s="1" t="s">
        <v>255</v>
      </c>
      <c r="B255" t="str">
        <f>HYPERLINK("https://www.suredividend.com/sure-analysis-research-database/","Allbirds Inc")</f>
        <v>Allbirds Inc</v>
      </c>
      <c r="C255">
        <v>-6.4094713206776011E-2</v>
      </c>
      <c r="D255">
        <v>-3.2700421940928003E-2</v>
      </c>
      <c r="E255">
        <v>-0.31052631578947298</v>
      </c>
      <c r="F255">
        <v>-0.251428571428571</v>
      </c>
      <c r="G255">
        <v>-0.66593806921675702</v>
      </c>
      <c r="H255">
        <v>-0.89923076923076906</v>
      </c>
      <c r="I255">
        <v>-0.96825891311872603</v>
      </c>
    </row>
    <row r="256" spans="1:9" x14ac:dyDescent="0.2">
      <c r="A256" s="1" t="s">
        <v>256</v>
      </c>
      <c r="B256" t="str">
        <f>HYPERLINK("https://www.suredividend.com/sure-analysis-research-database/","BJ`s Restaurant Inc.")</f>
        <v>BJ`s Restaurant Inc.</v>
      </c>
      <c r="C256">
        <v>2.0312040035325E-2</v>
      </c>
      <c r="D256">
        <v>0.12240932642487</v>
      </c>
      <c r="E256">
        <v>0.14692256783586999</v>
      </c>
      <c r="F256">
        <v>-3.7489586226048012E-2</v>
      </c>
      <c r="G256">
        <v>2.9708853238264998E-2</v>
      </c>
      <c r="H256">
        <v>1.5826494724501001E-2</v>
      </c>
      <c r="I256">
        <v>-0.315998452806656</v>
      </c>
    </row>
    <row r="257" spans="1:9" x14ac:dyDescent="0.2">
      <c r="A257" s="1" t="s">
        <v>257</v>
      </c>
      <c r="B257" t="str">
        <f>HYPERLINK("https://www.suredividend.com/sure-analysis-research-database/","Brookdale Senior Living Inc")</f>
        <v>Brookdale Senior Living Inc</v>
      </c>
      <c r="C257">
        <v>6.3903281519861008E-2</v>
      </c>
      <c r="D257">
        <v>0.111913357400722</v>
      </c>
      <c r="E257">
        <v>0.48076923076923012</v>
      </c>
      <c r="F257">
        <v>5.8419243986253998E-2</v>
      </c>
      <c r="G257">
        <v>1.006514657980456</v>
      </c>
      <c r="H257">
        <v>-3.7499999999999013E-2</v>
      </c>
      <c r="I257">
        <v>-0.15151515151515099</v>
      </c>
    </row>
    <row r="258" spans="1:9" x14ac:dyDescent="0.2">
      <c r="A258" s="1" t="s">
        <v>258</v>
      </c>
      <c r="B258" t="str">
        <f>HYPERLINK("https://www.suredividend.com/sure-analysis-research-database/","Buckle, Inc.")</f>
        <v>Buckle, Inc.</v>
      </c>
      <c r="C258">
        <v>9.189039579296901E-2</v>
      </c>
      <c r="D258">
        <v>0.107240991212239</v>
      </c>
      <c r="E258">
        <v>0.13172147889748201</v>
      </c>
      <c r="F258">
        <v>-0.119472710350045</v>
      </c>
      <c r="G258">
        <v>1.363330369944E-2</v>
      </c>
      <c r="H258">
        <v>0.26947657019288301</v>
      </c>
      <c r="I258">
        <v>1.864070973784131</v>
      </c>
    </row>
    <row r="259" spans="1:9" x14ac:dyDescent="0.2">
      <c r="A259" s="1" t="s">
        <v>259</v>
      </c>
      <c r="B259" t="str">
        <f>HYPERLINK("https://www.suredividend.com/sure-analysis-BKH/","Black Hills Corporation")</f>
        <v>Black Hills Corporation</v>
      </c>
      <c r="C259">
        <v>5.3735255570117997E-2</v>
      </c>
      <c r="D259">
        <v>4.3759611735803998E-2</v>
      </c>
      <c r="E259">
        <v>-3.0070415477298999E-2</v>
      </c>
      <c r="F259">
        <v>-1.8923180896597998E-2</v>
      </c>
      <c r="G259">
        <v>-0.154765563085283</v>
      </c>
      <c r="H259">
        <v>-0.179499095659164</v>
      </c>
      <c r="I259">
        <v>-0.10955566384618701</v>
      </c>
    </row>
    <row r="260" spans="1:9" x14ac:dyDescent="0.2">
      <c r="A260" s="1" t="s">
        <v>260</v>
      </c>
      <c r="B260" t="str">
        <f>HYPERLINK("https://www.suredividend.com/sure-analysis-research-database/","Bakkt Holdings Inc")</f>
        <v>Bakkt Holdings Inc</v>
      </c>
      <c r="C260">
        <v>-0.32992805755395599</v>
      </c>
      <c r="D260">
        <v>-0.320145985401459</v>
      </c>
      <c r="E260">
        <v>-0.28900763358778597</v>
      </c>
      <c r="F260">
        <v>-0.58233183856502202</v>
      </c>
      <c r="G260">
        <v>-0.44559523809523799</v>
      </c>
      <c r="H260">
        <v>-0.8208846153846151</v>
      </c>
      <c r="I260">
        <v>-0.9153272727272721</v>
      </c>
    </row>
    <row r="261" spans="1:9" x14ac:dyDescent="0.2">
      <c r="A261" s="1" t="s">
        <v>261</v>
      </c>
      <c r="B261" t="str">
        <f>HYPERLINK("https://www.suredividend.com/sure-analysis-research-database/","BlackSky Technology Inc")</f>
        <v>BlackSky Technology Inc</v>
      </c>
      <c r="C261">
        <v>0.15625</v>
      </c>
      <c r="D261">
        <v>0.12977099236641201</v>
      </c>
      <c r="E261">
        <v>8.0291970802918999E-2</v>
      </c>
      <c r="F261">
        <v>5.7142857142857002E-2</v>
      </c>
      <c r="G261">
        <v>-0.24873096446700499</v>
      </c>
      <c r="H261">
        <v>-0.42635658914728602</v>
      </c>
      <c r="I261">
        <v>-0.8489795918367341</v>
      </c>
    </row>
    <row r="262" spans="1:9" x14ac:dyDescent="0.2">
      <c r="A262" s="1" t="s">
        <v>262</v>
      </c>
      <c r="B262" t="str">
        <f>HYPERLINK("https://www.suredividend.com/sure-analysis-research-database/","BankUnited Inc")</f>
        <v>BankUnited Inc</v>
      </c>
      <c r="C262">
        <v>-7.147742818057401E-2</v>
      </c>
      <c r="D262">
        <v>8.4838939736120011E-3</v>
      </c>
      <c r="E262">
        <v>6.4680831039268999E-2</v>
      </c>
      <c r="F262">
        <v>-0.15539752312157601</v>
      </c>
      <c r="G262">
        <v>-0.22813840629770801</v>
      </c>
      <c r="H262">
        <v>-0.33125443367226198</v>
      </c>
      <c r="I262">
        <v>-0.13264051063992899</v>
      </c>
    </row>
    <row r="263" spans="1:9" x14ac:dyDescent="0.2">
      <c r="A263" s="1" t="s">
        <v>263</v>
      </c>
      <c r="B263" t="str">
        <f>HYPERLINK("https://www.suredividend.com/sure-analysis-research-database/","BlackLine Inc")</f>
        <v>BlackLine Inc</v>
      </c>
      <c r="C263">
        <v>-3.9458284567797E-2</v>
      </c>
      <c r="D263">
        <v>-4.1601664066560004E-3</v>
      </c>
      <c r="E263">
        <v>0.10332245054734</v>
      </c>
      <c r="F263">
        <v>-7.9916720051249002E-2</v>
      </c>
      <c r="G263">
        <v>-0.19896820970440601</v>
      </c>
      <c r="H263">
        <v>-0.20341098169717101</v>
      </c>
      <c r="I263">
        <v>0.120319812792511</v>
      </c>
    </row>
    <row r="264" spans="1:9" x14ac:dyDescent="0.2">
      <c r="A264" s="1" t="s">
        <v>264</v>
      </c>
      <c r="B264" t="str">
        <f>HYPERLINK("https://www.suredividend.com/sure-analysis-research-database/","Blue Bird Corp")</f>
        <v>Blue Bird Corp</v>
      </c>
      <c r="C264">
        <v>0.201581027667984</v>
      </c>
      <c r="D264">
        <v>0.63090128755364705</v>
      </c>
      <c r="E264">
        <v>0.39834406623735003</v>
      </c>
      <c r="F264">
        <v>0.12759643916913899</v>
      </c>
      <c r="G264">
        <v>0.50049358341559702</v>
      </c>
      <c r="H264">
        <v>0.47429679922405399</v>
      </c>
      <c r="I264">
        <v>0.51319064211050203</v>
      </c>
    </row>
    <row r="265" spans="1:9" x14ac:dyDescent="0.2">
      <c r="A265" s="1" t="s">
        <v>265</v>
      </c>
      <c r="B265" t="str">
        <f>HYPERLINK("https://www.suredividend.com/sure-analysis-research-database/","Blade Air Mobility Inc")</f>
        <v>Blade Air Mobility Inc</v>
      </c>
      <c r="C265">
        <v>0.17667844522968101</v>
      </c>
      <c r="D265">
        <v>-2.9154518950437001E-2</v>
      </c>
      <c r="E265">
        <v>-2.0588235294117001E-2</v>
      </c>
      <c r="F265">
        <v>-5.6657223796033003E-2</v>
      </c>
      <c r="G265">
        <v>-0.31901840490797501</v>
      </c>
      <c r="H265">
        <v>-0.52765957446808509</v>
      </c>
      <c r="I265">
        <v>-0.6584615384615381</v>
      </c>
    </row>
    <row r="266" spans="1:9" x14ac:dyDescent="0.2">
      <c r="A266" s="1" t="s">
        <v>266</v>
      </c>
      <c r="B266" t="str">
        <f>HYPERLINK("https://www.suredividend.com/sure-analysis-research-database/","Biolife Solutions Inc")</f>
        <v>Biolife Solutions Inc</v>
      </c>
      <c r="C266">
        <v>2.4461269656376999E-2</v>
      </c>
      <c r="D266">
        <v>0.31170768083519701</v>
      </c>
      <c r="E266">
        <v>0.62719703977798302</v>
      </c>
      <c r="F266">
        <v>8.2461538461538003E-2</v>
      </c>
      <c r="G266">
        <v>-0.25560727888277601</v>
      </c>
      <c r="H266">
        <v>-0.21960958296361999</v>
      </c>
      <c r="I266">
        <v>-1.1797752808988E-2</v>
      </c>
    </row>
    <row r="267" spans="1:9" x14ac:dyDescent="0.2">
      <c r="A267" s="1" t="s">
        <v>267</v>
      </c>
      <c r="B267" t="str">
        <f>HYPERLINK("https://www.suredividend.com/sure-analysis-research-database/","Blue Foundry Bancorp")</f>
        <v>Blue Foundry Bancorp</v>
      </c>
      <c r="C267">
        <v>-5.4878048780487007E-2</v>
      </c>
      <c r="D267">
        <v>5.9225512528473002E-2</v>
      </c>
      <c r="E267">
        <v>-2.6178010471204001E-2</v>
      </c>
      <c r="F267">
        <v>-3.8262668045501012E-2</v>
      </c>
      <c r="G267">
        <v>-0.22305764411027501</v>
      </c>
      <c r="H267">
        <v>-0.35101186322400502</v>
      </c>
      <c r="I267">
        <v>-0.27906976744186002</v>
      </c>
    </row>
    <row r="268" spans="1:9" x14ac:dyDescent="0.2">
      <c r="A268" s="1" t="s">
        <v>268</v>
      </c>
      <c r="B268" t="str">
        <f>HYPERLINK("https://www.suredividend.com/sure-analysis-research-database/","Blackbaud Inc")</f>
        <v>Blackbaud Inc</v>
      </c>
      <c r="C268">
        <v>-0.156704559344823</v>
      </c>
      <c r="D268">
        <v>-7.4456667561041009E-2</v>
      </c>
      <c r="E268">
        <v>-3.8600891861761001E-2</v>
      </c>
      <c r="F268">
        <v>-0.20426758938869599</v>
      </c>
      <c r="G268">
        <v>0.17710288346698499</v>
      </c>
      <c r="H268">
        <v>0.106495589414594</v>
      </c>
      <c r="I268">
        <v>-9.0199367530970007E-2</v>
      </c>
    </row>
    <row r="269" spans="1:9" x14ac:dyDescent="0.2">
      <c r="A269" s="1" t="s">
        <v>269</v>
      </c>
      <c r="B269" t="str">
        <f>HYPERLINK("https://www.suredividend.com/sure-analysis-research-database/","Bloomin Brands Inc")</f>
        <v>Bloomin Brands Inc</v>
      </c>
      <c r="C269">
        <v>6.0331230283911012E-2</v>
      </c>
      <c r="D269">
        <v>0.118087318087318</v>
      </c>
      <c r="E269">
        <v>-2.4172506269029E-2</v>
      </c>
      <c r="F269">
        <v>-4.4760213143871998E-2</v>
      </c>
      <c r="G269">
        <v>3.6842815554570002E-2</v>
      </c>
      <c r="H269">
        <v>0.20921322444868101</v>
      </c>
      <c r="I269">
        <v>0.39897613052254799</v>
      </c>
    </row>
    <row r="270" spans="1:9" x14ac:dyDescent="0.2">
      <c r="A270" s="1" t="s">
        <v>270</v>
      </c>
      <c r="B270" t="str">
        <f>HYPERLINK("https://www.suredividend.com/sure-analysis-research-database/","Blink Charging Co")</f>
        <v>Blink Charging Co</v>
      </c>
      <c r="C270">
        <v>0.23599999999999999</v>
      </c>
      <c r="D270">
        <v>-0.20971867007672601</v>
      </c>
      <c r="E270">
        <v>-0.36157024793388398</v>
      </c>
      <c r="F270">
        <v>-8.8495575221238007E-2</v>
      </c>
      <c r="G270">
        <v>-0.7076631977294231</v>
      </c>
      <c r="H270">
        <v>-0.86878980891719704</v>
      </c>
      <c r="I270">
        <v>-0.19109947643979</v>
      </c>
    </row>
    <row r="271" spans="1:9" x14ac:dyDescent="0.2">
      <c r="A271" s="1" t="s">
        <v>271</v>
      </c>
      <c r="B271" t="str">
        <f>HYPERLINK("https://www.suredividend.com/sure-analysis-research-database/","Bluebird bio Inc")</f>
        <v>Bluebird bio Inc</v>
      </c>
      <c r="C271">
        <v>-0.13043478260869501</v>
      </c>
      <c r="D271">
        <v>-0.71279373368146204</v>
      </c>
      <c r="E271">
        <v>-0.68660968660968602</v>
      </c>
      <c r="F271">
        <v>-0.202898550724637</v>
      </c>
      <c r="G271">
        <v>-0.8066783831282951</v>
      </c>
      <c r="H271">
        <v>-0.82055464926590505</v>
      </c>
      <c r="I271">
        <v>-0.98739979977136305</v>
      </c>
    </row>
    <row r="272" spans="1:9" x14ac:dyDescent="0.2">
      <c r="A272" s="1" t="s">
        <v>272</v>
      </c>
      <c r="B272" t="str">
        <f>HYPERLINK("https://www.suredividend.com/sure-analysis-research-database/","Banco Latinoamericano De Comercio Exterior SA")</f>
        <v>Banco Latinoamericano De Comercio Exterior SA</v>
      </c>
      <c r="C272">
        <v>-5.3785684733140002E-3</v>
      </c>
      <c r="D272">
        <v>-5.5402750491159003E-2</v>
      </c>
      <c r="E272">
        <v>3.2402138669987E-2</v>
      </c>
      <c r="F272">
        <v>-2.8294260307194001E-2</v>
      </c>
      <c r="G272">
        <v>0.48197465108250698</v>
      </c>
      <c r="H272">
        <v>0.75466767878779006</v>
      </c>
      <c r="I272">
        <v>0.80307212288491503</v>
      </c>
    </row>
    <row r="273" spans="1:9" x14ac:dyDescent="0.2">
      <c r="A273" s="1" t="s">
        <v>273</v>
      </c>
      <c r="B273" t="str">
        <f>HYPERLINK("https://www.suredividend.com/sure-analysis-research-database/","Bumble Inc")</f>
        <v>Bumble Inc</v>
      </c>
      <c r="C273">
        <v>-3.5584604212054997E-2</v>
      </c>
      <c r="D273">
        <v>-8.665749656121001E-2</v>
      </c>
      <c r="E273">
        <v>-0.19368548876745501</v>
      </c>
      <c r="F273">
        <v>-9.9050203527815003E-2</v>
      </c>
      <c r="G273">
        <v>-0.41600703605980599</v>
      </c>
      <c r="H273">
        <v>-0.47280666931321902</v>
      </c>
      <c r="I273">
        <v>-0.81112217323282609</v>
      </c>
    </row>
    <row r="274" spans="1:9" x14ac:dyDescent="0.2">
      <c r="A274" s="1" t="s">
        <v>274</v>
      </c>
      <c r="B274" t="str">
        <f>HYPERLINK("https://www.suredividend.com/sure-analysis-research-database/","Biomea Fusion Inc")</f>
        <v>Biomea Fusion Inc</v>
      </c>
      <c r="C274">
        <v>0.21767241379310301</v>
      </c>
      <c r="D274">
        <v>0.64244186046511609</v>
      </c>
      <c r="E274">
        <v>2.9143897996356E-2</v>
      </c>
      <c r="F274">
        <v>0.167355371900826</v>
      </c>
      <c r="G274">
        <v>0.54090909090909001</v>
      </c>
      <c r="H274">
        <v>1.7207062600321019</v>
      </c>
      <c r="I274">
        <v>-8.8709677419354011E-2</v>
      </c>
    </row>
    <row r="275" spans="1:9" x14ac:dyDescent="0.2">
      <c r="A275" s="1" t="s">
        <v>275</v>
      </c>
      <c r="B275" t="str">
        <f>HYPERLINK("https://www.suredividend.com/sure-analysis-BMI/","Badger Meter Inc.")</f>
        <v>Badger Meter Inc.</v>
      </c>
      <c r="C275">
        <v>3.3612337705134013E-2</v>
      </c>
      <c r="D275">
        <v>7.1234388789163008E-2</v>
      </c>
      <c r="E275">
        <v>-1.3236957777388E-2</v>
      </c>
      <c r="F275">
        <v>1.5935738809353998E-2</v>
      </c>
      <c r="G275">
        <v>0.31296066224855101</v>
      </c>
      <c r="H275">
        <v>0.57097851837382707</v>
      </c>
      <c r="I275">
        <v>1.6988563030676409</v>
      </c>
    </row>
    <row r="276" spans="1:9" x14ac:dyDescent="0.2">
      <c r="A276" s="1" t="s">
        <v>276</v>
      </c>
      <c r="B276" t="str">
        <f>HYPERLINK("https://www.suredividend.com/sure-analysis-BMRC/","Bank of Marin Bancorp")</f>
        <v>Bank of Marin Bancorp</v>
      </c>
      <c r="C276">
        <v>-0.11627223879387601</v>
      </c>
      <c r="D276">
        <v>-7.3366044308502007E-2</v>
      </c>
      <c r="E276">
        <v>-6.0823138734451998E-2</v>
      </c>
      <c r="F276">
        <v>-0.185302768569961</v>
      </c>
      <c r="G276">
        <v>-0.34913559985826398</v>
      </c>
      <c r="H276">
        <v>-0.44354625262681202</v>
      </c>
      <c r="I276">
        <v>-0.51219375831646707</v>
      </c>
    </row>
    <row r="277" spans="1:9" x14ac:dyDescent="0.2">
      <c r="A277" s="1" t="s">
        <v>277</v>
      </c>
      <c r="B277" t="str">
        <f>HYPERLINK("https://www.suredividend.com/sure-analysis-research-database/","Broadstone Net Lease Inc")</f>
        <v>Broadstone Net Lease Inc</v>
      </c>
      <c r="C277">
        <v>-6.7908653846153008E-2</v>
      </c>
      <c r="D277">
        <v>2.9203909780423001E-2</v>
      </c>
      <c r="E277">
        <v>3.1627762578340002E-3</v>
      </c>
      <c r="F277">
        <v>-9.930313588850101E-2</v>
      </c>
      <c r="G277">
        <v>-9.4433480855237006E-2</v>
      </c>
      <c r="H277">
        <v>-0.19417268915640101</v>
      </c>
      <c r="I277">
        <v>1.594330106245E-2</v>
      </c>
    </row>
    <row r="278" spans="1:9" x14ac:dyDescent="0.2">
      <c r="A278" s="1" t="s">
        <v>278</v>
      </c>
      <c r="B278" t="str">
        <f>HYPERLINK("https://www.suredividend.com/sure-analysis-research-database/","Boston Omaha Corp")</f>
        <v>Boston Omaha Corp</v>
      </c>
      <c r="C278">
        <v>3.7583892617449002E-2</v>
      </c>
      <c r="D278">
        <v>6.5104166666660008E-3</v>
      </c>
      <c r="E278">
        <v>-9.9067599067599002E-2</v>
      </c>
      <c r="F278">
        <v>-1.7164653528289001E-2</v>
      </c>
      <c r="G278">
        <v>-0.39085894405043298</v>
      </c>
      <c r="H278">
        <v>-0.39984472049689401</v>
      </c>
      <c r="I278">
        <v>-0.37408906882590998</v>
      </c>
    </row>
    <row r="279" spans="1:9" x14ac:dyDescent="0.2">
      <c r="A279" s="1" t="s">
        <v>279</v>
      </c>
      <c r="B279" t="str">
        <f>HYPERLINK("https://www.suredividend.com/sure-analysis-research-database/","Bank of Hawaii Corp.")</f>
        <v>Bank of Hawaii Corp.</v>
      </c>
      <c r="C279">
        <v>-9.4868035190615013E-2</v>
      </c>
      <c r="D279">
        <v>0.100201575892164</v>
      </c>
      <c r="E279">
        <v>0.168529031500877</v>
      </c>
      <c r="F279">
        <v>-0.148081700248412</v>
      </c>
      <c r="G279">
        <v>-0.143350383986633</v>
      </c>
      <c r="H279">
        <v>-0.22780840441674</v>
      </c>
      <c r="I279">
        <v>-9.687292432927401E-2</v>
      </c>
    </row>
    <row r="280" spans="1:9" x14ac:dyDescent="0.2">
      <c r="A280" s="1" t="s">
        <v>280</v>
      </c>
      <c r="B280" t="str">
        <f>HYPERLINK("https://www.suredividend.com/sure-analysis-research-database/","DMC Global Inc")</f>
        <v>DMC Global Inc</v>
      </c>
      <c r="C280">
        <v>6.5689149560117011E-2</v>
      </c>
      <c r="D280">
        <v>0.13208722741432999</v>
      </c>
      <c r="E280">
        <v>-0.23879346459991599</v>
      </c>
      <c r="F280">
        <v>-3.4537725823590999E-2</v>
      </c>
      <c r="G280">
        <v>-0.296826625386996</v>
      </c>
      <c r="H280">
        <v>-0.48380681818181798</v>
      </c>
      <c r="I280">
        <v>-0.47948148678650698</v>
      </c>
    </row>
    <row r="281" spans="1:9" x14ac:dyDescent="0.2">
      <c r="A281" s="1" t="s">
        <v>281</v>
      </c>
      <c r="B281" t="str">
        <f>HYPERLINK("https://www.suredividend.com/sure-analysis-research-database/","Boot Barn Holdings Inc")</f>
        <v>Boot Barn Holdings Inc</v>
      </c>
      <c r="C281">
        <v>0.245931283905967</v>
      </c>
      <c r="D281">
        <v>0.25518497757847503</v>
      </c>
      <c r="E281">
        <v>-3.0522783851066E-2</v>
      </c>
      <c r="F281">
        <v>0.16688379364252201</v>
      </c>
      <c r="G281">
        <v>0.10158652072315801</v>
      </c>
      <c r="H281">
        <v>0.117948077883175</v>
      </c>
      <c r="I281">
        <v>2.159435626102292</v>
      </c>
    </row>
    <row r="282" spans="1:9" x14ac:dyDescent="0.2">
      <c r="A282" s="1" t="s">
        <v>282</v>
      </c>
      <c r="B282" t="str">
        <f>HYPERLINK("https://www.suredividend.com/sure-analysis-research-database/","Borr Drilling Ltd")</f>
        <v>Borr Drilling Ltd</v>
      </c>
      <c r="C282">
        <v>-5.6886227544909997E-2</v>
      </c>
      <c r="D282">
        <v>0</v>
      </c>
      <c r="E282">
        <v>-0.15775401069518699</v>
      </c>
      <c r="F282">
        <v>-0.14402173913043401</v>
      </c>
      <c r="G282">
        <v>-5.8295964125560013E-2</v>
      </c>
      <c r="H282">
        <v>1.985781990521327</v>
      </c>
      <c r="I282">
        <v>-0.66870875292509102</v>
      </c>
    </row>
    <row r="283" spans="1:9" x14ac:dyDescent="0.2">
      <c r="A283" s="1" t="s">
        <v>283</v>
      </c>
      <c r="B283" t="str">
        <f>HYPERLINK("https://www.suredividend.com/sure-analysis-research-database/","Bowlero Corp")</f>
        <v>Bowlero Corp</v>
      </c>
      <c r="C283">
        <v>4.9059689288634002E-2</v>
      </c>
      <c r="D283">
        <v>0.20696142991533301</v>
      </c>
      <c r="E283">
        <v>0.193488372093023</v>
      </c>
      <c r="F283">
        <v>-9.3926553672316004E-2</v>
      </c>
      <c r="G283">
        <v>-0.17756410256410199</v>
      </c>
      <c r="H283">
        <v>0.40834248079034002</v>
      </c>
      <c r="I283">
        <v>0.32268041237113398</v>
      </c>
    </row>
    <row r="284" spans="1:9" x14ac:dyDescent="0.2">
      <c r="A284" s="1" t="s">
        <v>284</v>
      </c>
      <c r="B284" t="str">
        <f>HYPERLINK("https://www.suredividend.com/sure-analysis-research-database/","Box Inc")</f>
        <v>Box Inc</v>
      </c>
      <c r="C284">
        <v>-2.4018299656881001E-2</v>
      </c>
      <c r="D284">
        <v>-2.0283199387676001E-2</v>
      </c>
      <c r="E284">
        <v>-0.151756129887342</v>
      </c>
      <c r="F284">
        <v>-3.9047247168999999E-4</v>
      </c>
      <c r="G284">
        <v>-0.218081857055589</v>
      </c>
      <c r="H284">
        <v>1.1058451816745E-2</v>
      </c>
      <c r="I284">
        <v>5.9602649006622002E-2</v>
      </c>
    </row>
    <row r="285" spans="1:9" x14ac:dyDescent="0.2">
      <c r="A285" s="1" t="s">
        <v>285</v>
      </c>
      <c r="B285" t="str">
        <f>HYPERLINK("https://www.suredividend.com/sure-analysis-research-database/","Blueprint Medicines Corp")</f>
        <v>Blueprint Medicines Corp</v>
      </c>
      <c r="C285">
        <v>0.12584824182603299</v>
      </c>
      <c r="D285">
        <v>0.38509411050394599</v>
      </c>
      <c r="E285">
        <v>0.85128829377155601</v>
      </c>
      <c r="F285">
        <v>-1.0732870771899E-2</v>
      </c>
      <c r="G285">
        <v>0.97425356988316703</v>
      </c>
      <c r="H285">
        <v>0.36827110511320998</v>
      </c>
      <c r="I285">
        <v>0.181994818652849</v>
      </c>
    </row>
    <row r="286" spans="1:9" x14ac:dyDescent="0.2">
      <c r="A286" s="1" t="s">
        <v>286</v>
      </c>
      <c r="B286" t="str">
        <f>HYPERLINK("https://www.suredividend.com/sure-analysis-research-database/","Princeton Bancorp Inc")</f>
        <v>Princeton Bancorp Inc</v>
      </c>
      <c r="C286">
        <v>-5.4099591489261002E-2</v>
      </c>
      <c r="D286">
        <v>-8.9903159772430005E-3</v>
      </c>
      <c r="E286">
        <v>0.133080278737748</v>
      </c>
      <c r="F286">
        <v>-9.1252452908418005E-2</v>
      </c>
      <c r="G286">
        <v>-1.8197103067827E-2</v>
      </c>
      <c r="H286">
        <v>9.6889632336306014E-2</v>
      </c>
      <c r="I286">
        <v>9.6889632336306014E-2</v>
      </c>
    </row>
    <row r="287" spans="1:9" x14ac:dyDescent="0.2">
      <c r="A287" s="1" t="s">
        <v>287</v>
      </c>
      <c r="B287" t="str">
        <f>HYPERLINK("https://www.suredividend.com/sure-analysis-research-database/","Bellring Brands Inc")</f>
        <v>Bellring Brands Inc</v>
      </c>
      <c r="C287">
        <v>2.7616006011647001E-2</v>
      </c>
      <c r="D287">
        <v>0.20378521126760499</v>
      </c>
      <c r="E287">
        <v>0.43569553805774203</v>
      </c>
      <c r="F287">
        <v>-1.3169763665884E-2</v>
      </c>
      <c r="G287">
        <v>0.76965383371077301</v>
      </c>
      <c r="H287">
        <v>1.203867848509266</v>
      </c>
      <c r="I287">
        <v>1.203867848509266</v>
      </c>
    </row>
    <row r="288" spans="1:9" x14ac:dyDescent="0.2">
      <c r="A288" s="1" t="s">
        <v>288</v>
      </c>
      <c r="B288" t="str">
        <f>HYPERLINK("https://www.suredividend.com/sure-analysis-research-database/","Blue Ridge Bankshares Inc (VA)")</f>
        <v>Blue Ridge Bankshares Inc (VA)</v>
      </c>
      <c r="C288">
        <v>-0.224683544303797</v>
      </c>
      <c r="D288">
        <v>-0.186046511627906</v>
      </c>
      <c r="E288">
        <v>-0.6886912325285891</v>
      </c>
      <c r="F288">
        <v>-0.19141914191419099</v>
      </c>
      <c r="G288">
        <v>-0.79635094135738305</v>
      </c>
      <c r="H288">
        <v>-0.84453525559673004</v>
      </c>
      <c r="I288">
        <v>-0.73478533850050809</v>
      </c>
    </row>
    <row r="289" spans="1:9" x14ac:dyDescent="0.2">
      <c r="A289" s="1" t="s">
        <v>289</v>
      </c>
      <c r="B289" t="str">
        <f>HYPERLINK("https://www.suredividend.com/sure-analysis-research-database/","BRC Inc")</f>
        <v>BRC Inc</v>
      </c>
      <c r="C289">
        <v>0.113888888888888</v>
      </c>
      <c r="D289">
        <v>-7.4257425742570004E-3</v>
      </c>
      <c r="E289">
        <v>-3.8369304556353998E-2</v>
      </c>
      <c r="F289">
        <v>0.104683195592286</v>
      </c>
      <c r="G289">
        <v>-0.45293315143246898</v>
      </c>
      <c r="H289">
        <v>-0.78647497337593109</v>
      </c>
      <c r="I289">
        <v>-0.59206510681586899</v>
      </c>
    </row>
    <row r="290" spans="1:9" x14ac:dyDescent="0.2">
      <c r="A290" s="1" t="s">
        <v>290</v>
      </c>
      <c r="B290" t="str">
        <f>HYPERLINK("https://www.suredividend.com/sure-analysis-research-database/","Brookline Bancorp, Inc.")</f>
        <v>Brookline Bancorp, Inc.</v>
      </c>
      <c r="C290">
        <v>-3.1583473400303999E-2</v>
      </c>
      <c r="D290">
        <v>6.4549741650642006E-2</v>
      </c>
      <c r="E290">
        <v>6.1550656640314998E-2</v>
      </c>
      <c r="F290">
        <v>-6.6195524146054008E-2</v>
      </c>
      <c r="G290">
        <v>-0.18448295725736</v>
      </c>
      <c r="H290">
        <v>-0.33593776175510698</v>
      </c>
      <c r="I290">
        <v>-0.21266723869450499</v>
      </c>
    </row>
    <row r="291" spans="1:9" x14ac:dyDescent="0.2">
      <c r="A291" s="1" t="s">
        <v>291</v>
      </c>
      <c r="B291" t="str">
        <f>HYPERLINK("https://www.suredividend.com/sure-analysis-research-database/","BRP Group Inc")</f>
        <v>BRP Group Inc</v>
      </c>
      <c r="C291">
        <v>5.4517133956386007E-2</v>
      </c>
      <c r="D291">
        <v>0.46457544618712798</v>
      </c>
      <c r="E291">
        <v>7.3325406262386011E-2</v>
      </c>
      <c r="F291">
        <v>0.127393838467943</v>
      </c>
      <c r="G291">
        <v>-6.8455452356381008E-2</v>
      </c>
      <c r="H291">
        <v>3.2799389778794E-2</v>
      </c>
      <c r="I291">
        <v>0.65424557116676807</v>
      </c>
    </row>
    <row r="292" spans="1:9" x14ac:dyDescent="0.2">
      <c r="A292" s="1" t="s">
        <v>292</v>
      </c>
      <c r="B292" t="str">
        <f>HYPERLINK("https://www.suredividend.com/sure-analysis-research-database/","BrightSpire Capital Inc")</f>
        <v>BrightSpire Capital Inc</v>
      </c>
      <c r="C292">
        <v>-7.5313807531380006E-2</v>
      </c>
      <c r="D292">
        <v>4.3322265409853997E-2</v>
      </c>
      <c r="E292">
        <v>9.9447788667230003E-2</v>
      </c>
      <c r="F292">
        <v>-0.108870967741935</v>
      </c>
      <c r="G292">
        <v>2.050240118212E-2</v>
      </c>
      <c r="H292">
        <v>-7.2688364546764E-2</v>
      </c>
      <c r="I292">
        <v>-0.56064782908339006</v>
      </c>
    </row>
    <row r="293" spans="1:9" x14ac:dyDescent="0.2">
      <c r="A293" s="1" t="s">
        <v>293</v>
      </c>
      <c r="B293" t="str">
        <f>HYPERLINK("https://www.suredividend.com/sure-analysis-research-database/","BRT Apartments Corp")</f>
        <v>BRT Apartments Corp</v>
      </c>
      <c r="C293">
        <v>-0.11023622047244</v>
      </c>
      <c r="D293">
        <v>-6.8924319202405007E-2</v>
      </c>
      <c r="E293">
        <v>-0.11390916168637299</v>
      </c>
      <c r="F293">
        <v>-0.149004841312533</v>
      </c>
      <c r="G293">
        <v>-0.21637392139962899</v>
      </c>
      <c r="H293">
        <v>-0.25853365891610902</v>
      </c>
      <c r="I293">
        <v>0.58958230760728603</v>
      </c>
    </row>
    <row r="294" spans="1:9" x14ac:dyDescent="0.2">
      <c r="A294" s="1" t="s">
        <v>294</v>
      </c>
      <c r="B294" t="str">
        <f>HYPERLINK("https://www.suredividend.com/sure-analysis-research-database/","Berry Corp")</f>
        <v>Berry Corp</v>
      </c>
      <c r="C294">
        <v>3.0303030303029999E-2</v>
      </c>
      <c r="D294">
        <v>-4.0902679830747003E-2</v>
      </c>
      <c r="E294">
        <v>-0.159341814090914</v>
      </c>
      <c r="F294">
        <v>-3.2716927453769001E-2</v>
      </c>
      <c r="G294">
        <v>-0.17151977387363199</v>
      </c>
      <c r="H294">
        <v>-0.103032541451768</v>
      </c>
      <c r="I294">
        <v>-0.24781257259161699</v>
      </c>
    </row>
    <row r="295" spans="1:9" x14ac:dyDescent="0.2">
      <c r="A295" s="1" t="s">
        <v>295</v>
      </c>
      <c r="B295" t="str">
        <f>HYPERLINK("https://www.suredividend.com/sure-analysis-research-database/","Braze Inc")</f>
        <v>Braze Inc</v>
      </c>
      <c r="C295">
        <v>5.4194506310319003E-2</v>
      </c>
      <c r="D295">
        <v>0.111763554511646</v>
      </c>
      <c r="E295">
        <v>0.39420716740304301</v>
      </c>
      <c r="F295">
        <v>6.907585168454701E-2</v>
      </c>
      <c r="G295">
        <v>0.82460648891744204</v>
      </c>
      <c r="H295">
        <v>0.30036630036630002</v>
      </c>
      <c r="I295">
        <v>-0.39179783702751902</v>
      </c>
    </row>
    <row r="296" spans="1:9" x14ac:dyDescent="0.2">
      <c r="A296" s="1" t="s">
        <v>296</v>
      </c>
      <c r="B296" t="str">
        <f>HYPERLINK("https://www.suredividend.com/sure-analysis-research-database/","BrightSphere Investment Group Inc")</f>
        <v>BrightSphere Investment Group Inc</v>
      </c>
      <c r="C296">
        <v>8.8921282798833004E-2</v>
      </c>
      <c r="D296">
        <v>0.283431647671954</v>
      </c>
      <c r="E296">
        <v>7.7973928519890004E-2</v>
      </c>
      <c r="F296">
        <v>0.169624217118997</v>
      </c>
      <c r="G296">
        <v>-0.133108970639433</v>
      </c>
      <c r="H296">
        <v>-7.4922600619195007E-2</v>
      </c>
      <c r="I296">
        <v>0.7021632132223371</v>
      </c>
    </row>
    <row r="297" spans="1:9" x14ac:dyDescent="0.2">
      <c r="A297" s="1" t="s">
        <v>297</v>
      </c>
      <c r="B297" t="str">
        <f>HYPERLINK("https://www.suredividend.com/sure-analysis-research-database/","Sierra Bancorp")</f>
        <v>Sierra Bancorp</v>
      </c>
      <c r="C297">
        <v>-0.106836802186077</v>
      </c>
      <c r="D297">
        <v>5.5823408869770004E-3</v>
      </c>
      <c r="E297">
        <v>-6.7182993485407003E-2</v>
      </c>
      <c r="F297">
        <v>-0.16208834759292901</v>
      </c>
      <c r="G297">
        <v>-5.6083921792725998E-2</v>
      </c>
      <c r="H297">
        <v>-0.20503961910655</v>
      </c>
      <c r="I297">
        <v>-0.13261598330871799</v>
      </c>
    </row>
    <row r="298" spans="1:9" x14ac:dyDescent="0.2">
      <c r="A298" s="1" t="s">
        <v>298</v>
      </c>
      <c r="B298" t="str">
        <f>HYPERLINK("https://www.suredividend.com/sure-analysis-research-database/","Bank7 Corp")</f>
        <v>Bank7 Corp</v>
      </c>
      <c r="C298">
        <v>9.1844813935075001E-2</v>
      </c>
      <c r="D298">
        <v>0.17075241430542201</v>
      </c>
      <c r="E298">
        <v>0.10963142373195001</v>
      </c>
      <c r="F298">
        <v>8.4095063985370009E-3</v>
      </c>
      <c r="G298">
        <v>-3.0712837256051999E-2</v>
      </c>
      <c r="H298">
        <v>0.259705855485521</v>
      </c>
      <c r="I298">
        <v>1.0025994583251641</v>
      </c>
    </row>
    <row r="299" spans="1:9" x14ac:dyDescent="0.2">
      <c r="A299" s="1" t="s">
        <v>299</v>
      </c>
      <c r="B299" t="str">
        <f>HYPERLINK("https://www.suredividend.com/sure-analysis-research-database/","BioXcel Therapeutics Inc")</f>
        <v>BioXcel Therapeutics Inc</v>
      </c>
      <c r="C299">
        <v>0.36575875486381298</v>
      </c>
      <c r="D299">
        <v>-8.3550913838120008E-2</v>
      </c>
      <c r="E299">
        <v>-0.18937644341801399</v>
      </c>
      <c r="F299">
        <v>0.189830508474576</v>
      </c>
      <c r="G299">
        <v>-0.89146567717996306</v>
      </c>
      <c r="H299">
        <v>-0.79131985731272203</v>
      </c>
      <c r="I299">
        <v>-0.57402912621359203</v>
      </c>
    </row>
    <row r="300" spans="1:9" x14ac:dyDescent="0.2">
      <c r="A300" s="1" t="s">
        <v>300</v>
      </c>
      <c r="B300" t="str">
        <f>HYPERLINK("https://www.suredividend.com/sure-analysis-research-database/","Bit Digital Inc")</f>
        <v>Bit Digital Inc</v>
      </c>
      <c r="C300">
        <v>0.13438735177865599</v>
      </c>
      <c r="D300">
        <v>0.239740820734341</v>
      </c>
      <c r="E300">
        <v>9.1254752851711002E-2</v>
      </c>
      <c r="F300">
        <v>-0.32151300236406599</v>
      </c>
      <c r="G300">
        <v>0.92617449664429508</v>
      </c>
      <c r="H300">
        <v>-0.26221079691516702</v>
      </c>
      <c r="I300">
        <v>-0.75086589293309802</v>
      </c>
    </row>
    <row r="301" spans="1:9" x14ac:dyDescent="0.2">
      <c r="A301" s="1" t="s">
        <v>301</v>
      </c>
      <c r="B301" t="str">
        <f>HYPERLINK("https://www.suredividend.com/sure-analysis-research-database/","biote Corp")</f>
        <v>biote Corp</v>
      </c>
      <c r="C301">
        <v>0.17811704834605499</v>
      </c>
      <c r="D301">
        <v>-8.4980237154150012E-2</v>
      </c>
      <c r="E301">
        <v>-2.1141649048624998E-2</v>
      </c>
      <c r="F301">
        <v>-6.2753036437247001E-2</v>
      </c>
      <c r="G301">
        <v>-3.1380753138075E-2</v>
      </c>
      <c r="H301">
        <v>-0.52994923857868004</v>
      </c>
      <c r="I301">
        <v>770.66666666666663</v>
      </c>
    </row>
    <row r="302" spans="1:9" x14ac:dyDescent="0.2">
      <c r="A302" s="1" t="s">
        <v>302</v>
      </c>
      <c r="B302" t="str">
        <f>HYPERLINK("https://www.suredividend.com/sure-analysis-research-database/","Peabody Energy Corp.")</f>
        <v>Peabody Energy Corp.</v>
      </c>
      <c r="C302">
        <v>-8.5891222401723005E-2</v>
      </c>
      <c r="D302">
        <v>1.5333609614587001E-2</v>
      </c>
      <c r="E302">
        <v>9.4707264268275013E-2</v>
      </c>
      <c r="F302">
        <v>-1.9737249159568E-2</v>
      </c>
      <c r="G302">
        <v>-0.14800328394273801</v>
      </c>
      <c r="H302">
        <v>0.43489391505959302</v>
      </c>
      <c r="I302">
        <v>-0.15630613679449501</v>
      </c>
    </row>
    <row r="303" spans="1:9" x14ac:dyDescent="0.2">
      <c r="A303" s="1" t="s">
        <v>303</v>
      </c>
      <c r="B303" t="str">
        <f>HYPERLINK("https://www.suredividend.com/sure-analysis-research-database/","First Busey Corp.")</f>
        <v>First Busey Corp.</v>
      </c>
      <c r="C303">
        <v>-1.818950930626E-2</v>
      </c>
      <c r="D303">
        <v>8.9272472991111004E-2</v>
      </c>
      <c r="E303">
        <v>0.16064508063507901</v>
      </c>
      <c r="F303">
        <v>-5.5113622485120008E-2</v>
      </c>
      <c r="G303">
        <v>1.3227397738681999E-2</v>
      </c>
      <c r="H303">
        <v>-5.3545432673683002E-2</v>
      </c>
      <c r="I303">
        <v>6.0359635978217002E-2</v>
      </c>
    </row>
    <row r="304" spans="1:9" x14ac:dyDescent="0.2">
      <c r="A304" s="1" t="s">
        <v>304</v>
      </c>
      <c r="B304" t="str">
        <f>HYPERLINK("https://www.suredividend.com/sure-analysis-research-database/","BrightView Holdings Inc")</f>
        <v>BrightView Holdings Inc</v>
      </c>
      <c r="C304">
        <v>-4.7114252061240007E-3</v>
      </c>
      <c r="D304">
        <v>0.14809782608695601</v>
      </c>
      <c r="E304">
        <v>1.1976047904191E-2</v>
      </c>
      <c r="F304">
        <v>3.5629453681700002E-3</v>
      </c>
      <c r="G304">
        <v>0.29007633587786202</v>
      </c>
      <c r="H304">
        <v>-0.36178247734138902</v>
      </c>
      <c r="I304">
        <v>-0.39599714081486698</v>
      </c>
    </row>
    <row r="305" spans="1:9" x14ac:dyDescent="0.2">
      <c r="A305" s="1" t="s">
        <v>305</v>
      </c>
      <c r="B305" t="str">
        <f>HYPERLINK("https://www.suredividend.com/sure-analysis-research-database/","Babcock &amp; Wilcox Enterprises Inc")</f>
        <v>Babcock &amp; Wilcox Enterprises Inc</v>
      </c>
      <c r="C305">
        <v>-3.4188034188033997E-2</v>
      </c>
      <c r="D305">
        <v>-0.35428571428571398</v>
      </c>
      <c r="E305">
        <v>-0.76160337552742607</v>
      </c>
      <c r="F305">
        <v>-0.22602739726027399</v>
      </c>
      <c r="G305">
        <v>-0.83134328358208909</v>
      </c>
      <c r="H305">
        <v>-0.84811827956989205</v>
      </c>
      <c r="I305">
        <v>-0.82343749999999993</v>
      </c>
    </row>
    <row r="306" spans="1:9" x14ac:dyDescent="0.2">
      <c r="A306" s="1" t="s">
        <v>306</v>
      </c>
      <c r="B306" t="str">
        <f>HYPERLINK("https://www.suredividend.com/sure-analysis-research-database/","Bridgewater Bancshares Inc")</f>
        <v>Bridgewater Bancshares Inc</v>
      </c>
      <c r="C306">
        <v>-9.0083270249810013E-2</v>
      </c>
      <c r="D306">
        <v>0.13182674199623301</v>
      </c>
      <c r="E306">
        <v>0.15799614643545201</v>
      </c>
      <c r="F306">
        <v>-0.11094674556212999</v>
      </c>
      <c r="G306">
        <v>-0.195986622073578</v>
      </c>
      <c r="H306">
        <v>-0.30278422273781902</v>
      </c>
      <c r="I306">
        <v>5.5311676909569008E-2</v>
      </c>
    </row>
    <row r="307" spans="1:9" x14ac:dyDescent="0.2">
      <c r="A307" s="1" t="s">
        <v>307</v>
      </c>
      <c r="B307" t="str">
        <f>HYPERLINK("https://www.suredividend.com/sure-analysis-research-database/","Bankwell Financial Group Inc")</f>
        <v>Bankwell Financial Group Inc</v>
      </c>
      <c r="C307">
        <v>-8.2066718077564008E-2</v>
      </c>
      <c r="D307">
        <v>-3.0165131000922999E-2</v>
      </c>
      <c r="E307">
        <v>3.3766504044216002E-2</v>
      </c>
      <c r="F307">
        <v>-0.13042600036358401</v>
      </c>
      <c r="G307">
        <v>-0.131361774537432</v>
      </c>
      <c r="H307">
        <v>-0.17791739072316501</v>
      </c>
      <c r="I307">
        <v>-8.7306917394219998E-3</v>
      </c>
    </row>
    <row r="308" spans="1:9" x14ac:dyDescent="0.2">
      <c r="A308" s="1" t="s">
        <v>308</v>
      </c>
      <c r="B308" t="str">
        <f>HYPERLINK("https://www.suredividend.com/sure-analysis-research-database/","Bowman Consulting Group Ltd")</f>
        <v>Bowman Consulting Group Ltd</v>
      </c>
      <c r="C308">
        <v>0.132167152575315</v>
      </c>
      <c r="D308">
        <v>0.18756371049949</v>
      </c>
      <c r="E308">
        <v>0.106362773029439</v>
      </c>
      <c r="F308">
        <v>-1.6047297297297002E-2</v>
      </c>
      <c r="G308">
        <v>0.33092155369383103</v>
      </c>
      <c r="H308">
        <v>1.0766488413547239</v>
      </c>
      <c r="I308">
        <v>1.496428571428571</v>
      </c>
    </row>
    <row r="309" spans="1:9" x14ac:dyDescent="0.2">
      <c r="A309" s="1" t="s">
        <v>309</v>
      </c>
      <c r="B309" t="str">
        <f>HYPERLINK("https://www.suredividend.com/sure-analysis-research-database/","Bluelinx Hldgs Inc")</f>
        <v>Bluelinx Hldgs Inc</v>
      </c>
      <c r="C309">
        <v>5.3341728883691007E-2</v>
      </c>
      <c r="D309">
        <v>0.31809995497523602</v>
      </c>
      <c r="E309">
        <v>0.44176311253385803</v>
      </c>
      <c r="F309">
        <v>3.3448062836466001E-2</v>
      </c>
      <c r="G309">
        <v>0.294065642612443</v>
      </c>
      <c r="H309">
        <v>0.36623497841558711</v>
      </c>
      <c r="I309">
        <v>2.606405913150601</v>
      </c>
    </row>
    <row r="310" spans="1:9" x14ac:dyDescent="0.2">
      <c r="A310" s="1" t="s">
        <v>310</v>
      </c>
      <c r="B310" t="str">
        <f>HYPERLINK("https://www.suredividend.com/sure-analysis-BXMT/","Blackstone Mortgage Trust Inc")</f>
        <v>Blackstone Mortgage Trust Inc</v>
      </c>
      <c r="C310">
        <v>-6.1680427391937007E-2</v>
      </c>
      <c r="D310">
        <v>-0.115704484183834</v>
      </c>
      <c r="E310">
        <v>-1.6483572424886999E-2</v>
      </c>
      <c r="F310">
        <v>-9.1678420310296008E-2</v>
      </c>
      <c r="G310">
        <v>-3.3357182526379002E-2</v>
      </c>
      <c r="H310">
        <v>-0.24660739354234901</v>
      </c>
      <c r="I310">
        <v>-8.7978020836775001E-2</v>
      </c>
    </row>
    <row r="311" spans="1:9" x14ac:dyDescent="0.2">
      <c r="A311" s="1" t="s">
        <v>311</v>
      </c>
      <c r="B311" t="str">
        <f>HYPERLINK("https://www.suredividend.com/sure-analysis-research-database/","Byline Bancorp Inc")</f>
        <v>Byline Bancorp Inc</v>
      </c>
      <c r="C311">
        <v>-6.6325103556666001E-2</v>
      </c>
      <c r="D311">
        <v>1.439837927791E-2</v>
      </c>
      <c r="E311">
        <v>-7.2743236672780003E-3</v>
      </c>
      <c r="F311">
        <v>-0.10357674158883801</v>
      </c>
      <c r="G311">
        <v>-0.14684906165567199</v>
      </c>
      <c r="H311">
        <v>-0.201609688502496</v>
      </c>
      <c r="I311">
        <v>9.7696559715632014E-2</v>
      </c>
    </row>
    <row r="312" spans="1:9" x14ac:dyDescent="0.2">
      <c r="A312" s="1" t="s">
        <v>312</v>
      </c>
      <c r="B312" t="str">
        <f>HYPERLINK("https://www.suredividend.com/sure-analysis-research-database/","Beyond Meat Inc")</f>
        <v>Beyond Meat Inc</v>
      </c>
      <c r="C312">
        <v>-1.9125683060108999E-2</v>
      </c>
      <c r="D312">
        <v>7.6461769115442002E-2</v>
      </c>
      <c r="E312">
        <v>-0.40661157024793299</v>
      </c>
      <c r="F312">
        <v>-0.193258426966292</v>
      </c>
      <c r="G312">
        <v>-0.5952649379932351</v>
      </c>
      <c r="H312">
        <v>-0.86279380852283505</v>
      </c>
      <c r="I312">
        <v>-0.89079847908745202</v>
      </c>
    </row>
    <row r="313" spans="1:9" x14ac:dyDescent="0.2">
      <c r="A313" s="1" t="s">
        <v>313</v>
      </c>
      <c r="B313" t="str">
        <f>HYPERLINK("https://www.suredividend.com/sure-analysis-research-database/","Beyond Inc")</f>
        <v>Beyond Inc</v>
      </c>
      <c r="C313">
        <v>0.15169491525423701</v>
      </c>
      <c r="D313">
        <v>0.66035430665852102</v>
      </c>
      <c r="E313">
        <v>3.3460076045627E-2</v>
      </c>
      <c r="F313">
        <v>-1.8418201516792999E-2</v>
      </c>
      <c r="G313">
        <v>0.244505494505494</v>
      </c>
      <c r="H313">
        <v>-0.31553764794762001</v>
      </c>
      <c r="I313">
        <v>0.232094288304623</v>
      </c>
    </row>
    <row r="314" spans="1:9" x14ac:dyDescent="0.2">
      <c r="A314" s="1" t="s">
        <v>314</v>
      </c>
      <c r="B314" t="str">
        <f>HYPERLINK("https://www.suredividend.com/sure-analysis-research-database/","Beazer Homes USA Inc.")</f>
        <v>Beazer Homes USA Inc.</v>
      </c>
      <c r="C314">
        <v>-0.101883297313985</v>
      </c>
      <c r="D314">
        <v>9.1147786946736004E-2</v>
      </c>
      <c r="E314">
        <v>3.4494653328730001E-3</v>
      </c>
      <c r="F314">
        <v>-0.13909440662917999</v>
      </c>
      <c r="G314">
        <v>0.97086720867208609</v>
      </c>
      <c r="H314">
        <v>0.79678814082767102</v>
      </c>
      <c r="I314">
        <v>1.2155369383092149</v>
      </c>
    </row>
    <row r="315" spans="1:9" x14ac:dyDescent="0.2">
      <c r="A315" s="1" t="s">
        <v>315</v>
      </c>
      <c r="B315" t="str">
        <f>HYPERLINK("https://www.suredividend.com/sure-analysis-research-database/","Cabaletta Bio Inc")</f>
        <v>Cabaletta Bio Inc</v>
      </c>
      <c r="C315">
        <v>0.16529774127310001</v>
      </c>
      <c r="D315">
        <v>0.26462395543175399</v>
      </c>
      <c r="E315">
        <v>0.79022082018927409</v>
      </c>
      <c r="F315">
        <v>0</v>
      </c>
      <c r="G315">
        <v>1.862547288776796</v>
      </c>
      <c r="H315">
        <v>8.3415637860082299</v>
      </c>
      <c r="I315">
        <v>1.27</v>
      </c>
    </row>
    <row r="316" spans="1:9" x14ac:dyDescent="0.2">
      <c r="A316" s="1" t="s">
        <v>316</v>
      </c>
      <c r="B316" t="str">
        <f>HYPERLINK("https://www.suredividend.com/sure-analysis-research-database/","Camden National Corp.")</f>
        <v>Camden National Corp.</v>
      </c>
      <c r="C316">
        <v>-9.7736057426836012E-2</v>
      </c>
      <c r="D316">
        <v>-2.9869798315036999E-2</v>
      </c>
      <c r="E316">
        <v>4.0709731930249999E-3</v>
      </c>
      <c r="F316">
        <v>-0.111335905782027</v>
      </c>
      <c r="G316">
        <v>-0.14292533117228801</v>
      </c>
      <c r="H316">
        <v>-0.20946895569107299</v>
      </c>
      <c r="I316">
        <v>-8.6941701730564008E-2</v>
      </c>
    </row>
    <row r="317" spans="1:9" x14ac:dyDescent="0.2">
      <c r="A317" s="1" t="s">
        <v>317</v>
      </c>
      <c r="B317" t="str">
        <f>HYPERLINK("https://www.suredividend.com/sure-analysis-research-database/","Cadence Bank")</f>
        <v>Cadence Bank</v>
      </c>
      <c r="C317">
        <v>-5.2522460262612002E-2</v>
      </c>
      <c r="D317">
        <v>0.10426927739228101</v>
      </c>
      <c r="E317">
        <v>0.19730671487332599</v>
      </c>
      <c r="F317">
        <v>-7.3335586346738008E-2</v>
      </c>
      <c r="G317">
        <v>3.9325310338292001E-2</v>
      </c>
      <c r="H317">
        <v>-6.3275052780453006E-2</v>
      </c>
      <c r="I317">
        <v>-0.10798228977237601</v>
      </c>
    </row>
    <row r="318" spans="1:9" x14ac:dyDescent="0.2">
      <c r="A318" s="1" t="s">
        <v>318</v>
      </c>
      <c r="B318" t="str">
        <f>HYPERLINK("https://www.suredividend.com/sure-analysis-CAKE/","Cheesecake Factory Inc.")</f>
        <v>Cheesecake Factory Inc.</v>
      </c>
      <c r="C318">
        <v>6.2996941896024006E-2</v>
      </c>
      <c r="D318">
        <v>6.2022609227008002E-2</v>
      </c>
      <c r="E318">
        <v>8.984649342831301E-2</v>
      </c>
      <c r="F318">
        <v>-7.1408169094540003E-3</v>
      </c>
      <c r="G318">
        <v>-8.247436286607901E-2</v>
      </c>
      <c r="H318">
        <v>-0.122386220756727</v>
      </c>
      <c r="I318">
        <v>-0.15153290372973999</v>
      </c>
    </row>
    <row r="319" spans="1:9" x14ac:dyDescent="0.2">
      <c r="A319" s="1" t="s">
        <v>319</v>
      </c>
      <c r="B319" t="str">
        <f>HYPERLINK("https://www.suredividend.com/sure-analysis-research-database/","Caleres Inc")</f>
        <v>Caleres Inc</v>
      </c>
      <c r="C319">
        <v>0.247377326565143</v>
      </c>
      <c r="D319">
        <v>0.34433308532831403</v>
      </c>
      <c r="E319">
        <v>0.37883565820137799</v>
      </c>
      <c r="F319">
        <v>0.199479336153595</v>
      </c>
      <c r="G319">
        <v>0.43610762625357402</v>
      </c>
      <c r="H319">
        <v>0.73772022044437702</v>
      </c>
      <c r="I319">
        <v>0.36336736203580411</v>
      </c>
    </row>
    <row r="320" spans="1:9" x14ac:dyDescent="0.2">
      <c r="A320" s="1" t="s">
        <v>320</v>
      </c>
      <c r="B320" t="str">
        <f>HYPERLINK("https://www.suredividend.com/sure-analysis-research-database/","Cal-Maine Foods, Inc.")</f>
        <v>Cal-Maine Foods, Inc.</v>
      </c>
      <c r="C320">
        <v>8.1562256592856E-2</v>
      </c>
      <c r="D320">
        <v>0.20482674417884</v>
      </c>
      <c r="E320">
        <v>0.229681889391885</v>
      </c>
      <c r="F320">
        <v>2.0502797108574999E-2</v>
      </c>
      <c r="G320">
        <v>2.7960453839604001E-2</v>
      </c>
      <c r="H320">
        <v>0.56217354269458808</v>
      </c>
      <c r="I320">
        <v>0.51121360921446402</v>
      </c>
    </row>
    <row r="321" spans="1:9" x14ac:dyDescent="0.2">
      <c r="A321" s="1" t="s">
        <v>321</v>
      </c>
      <c r="B321" t="str">
        <f>HYPERLINK("https://www.suredividend.com/sure-analysis-research-database/","Calix Inc")</f>
        <v>Calix Inc</v>
      </c>
      <c r="C321">
        <v>-0.239585730724971</v>
      </c>
      <c r="D321">
        <v>-0.14559089733643599</v>
      </c>
      <c r="E321">
        <v>-0.18780727630285099</v>
      </c>
      <c r="F321">
        <v>-0.243762874799725</v>
      </c>
      <c r="G321">
        <v>-0.36934529490360701</v>
      </c>
      <c r="H321">
        <v>-0.38289129622711898</v>
      </c>
      <c r="I321">
        <v>3.0689655172413799</v>
      </c>
    </row>
    <row r="322" spans="1:9" x14ac:dyDescent="0.2">
      <c r="A322" s="1" t="s">
        <v>322</v>
      </c>
      <c r="B322" t="str">
        <f>HYPERLINK("https://www.suredividend.com/sure-analysis-research-database/","Cara Therapeutics Inc")</f>
        <v>Cara Therapeutics Inc</v>
      </c>
      <c r="C322">
        <v>0.136814159292035</v>
      </c>
      <c r="D322">
        <v>-0.39405660377358498</v>
      </c>
      <c r="E322">
        <v>-0.78446308724832203</v>
      </c>
      <c r="F322">
        <v>-0.13553162853297401</v>
      </c>
      <c r="G322">
        <v>-0.94030669144981405</v>
      </c>
      <c r="H322">
        <v>-0.93709108716944112</v>
      </c>
      <c r="I322">
        <v>-0.9611668681983071</v>
      </c>
    </row>
    <row r="323" spans="1:9" x14ac:dyDescent="0.2">
      <c r="A323" s="1" t="s">
        <v>323</v>
      </c>
      <c r="B323" t="str">
        <f>HYPERLINK("https://www.suredividend.com/sure-analysis-research-database/","Carter Bankshares Inc")</f>
        <v>Carter Bankshares Inc</v>
      </c>
      <c r="C323">
        <v>-1.7057569296374999E-2</v>
      </c>
      <c r="D323">
        <v>8.1313526192337005E-2</v>
      </c>
      <c r="E323">
        <v>-1.3552068473609E-2</v>
      </c>
      <c r="F323">
        <v>-7.6152304609217999E-2</v>
      </c>
      <c r="G323">
        <v>-0.213310580204778</v>
      </c>
      <c r="H323">
        <v>-0.15361077111383101</v>
      </c>
      <c r="I323">
        <v>0.61754385964912206</v>
      </c>
    </row>
    <row r="324" spans="1:9" x14ac:dyDescent="0.2">
      <c r="A324" s="1" t="s">
        <v>324</v>
      </c>
      <c r="B324" t="str">
        <f>HYPERLINK("https://www.suredividend.com/sure-analysis-research-database/","CarGurus Inc")</f>
        <v>CarGurus Inc</v>
      </c>
      <c r="C324">
        <v>-1.6281062553555999E-2</v>
      </c>
      <c r="D324">
        <v>9.5419847328244004E-2</v>
      </c>
      <c r="E324">
        <v>0.26991150442477801</v>
      </c>
      <c r="F324">
        <v>-4.9668874172184997E-2</v>
      </c>
      <c r="G324">
        <v>0.34504979496192101</v>
      </c>
      <c r="H324">
        <v>-0.33333333333333298</v>
      </c>
      <c r="I324">
        <v>-0.43794369645042802</v>
      </c>
    </row>
    <row r="325" spans="1:9" x14ac:dyDescent="0.2">
      <c r="A325" s="1" t="s">
        <v>325</v>
      </c>
      <c r="B325" t="str">
        <f>HYPERLINK("https://www.suredividend.com/sure-analysis-research-database/","Carisma Therapeutics Inc")</f>
        <v>Carisma Therapeutics Inc</v>
      </c>
      <c r="C325">
        <v>5.2401746724890001E-2</v>
      </c>
      <c r="D325">
        <v>-1.2295081967213E-2</v>
      </c>
      <c r="E325">
        <v>-0.60844841592201404</v>
      </c>
      <c r="F325">
        <v>-0.17747440273037501</v>
      </c>
      <c r="G325">
        <v>-0.80245901639344208</v>
      </c>
      <c r="H325">
        <v>-0.82028337061894108</v>
      </c>
      <c r="I325">
        <v>-0.85165579219500109</v>
      </c>
    </row>
    <row r="326" spans="1:9" x14ac:dyDescent="0.2">
      <c r="A326" s="1" t="s">
        <v>326</v>
      </c>
      <c r="B326" t="str">
        <f>HYPERLINK("https://www.suredividend.com/sure-analysis-research-database/","Cars.com")</f>
        <v>Cars.com</v>
      </c>
      <c r="C326">
        <v>2.4280067758328E-2</v>
      </c>
      <c r="D326">
        <v>-5.3729786124152003E-2</v>
      </c>
      <c r="E326">
        <v>-2.6301663982822999E-2</v>
      </c>
      <c r="F326">
        <v>-4.3753294675803002E-2</v>
      </c>
      <c r="G326">
        <v>3.3618233618232997E-2</v>
      </c>
      <c r="H326">
        <v>0.184846505551926</v>
      </c>
      <c r="I326">
        <v>-0.27671451355661802</v>
      </c>
    </row>
    <row r="327" spans="1:9" x14ac:dyDescent="0.2">
      <c r="A327" s="1" t="s">
        <v>327</v>
      </c>
      <c r="B327" t="str">
        <f>HYPERLINK("https://www.suredividend.com/sure-analysis-research-database/","Pathward Financial Inc")</f>
        <v>Pathward Financial Inc</v>
      </c>
      <c r="C327">
        <v>2.5306599182399999E-3</v>
      </c>
      <c r="D327">
        <v>3.0319399013694001E-2</v>
      </c>
      <c r="E327">
        <v>8.6892290029293009E-2</v>
      </c>
      <c r="F327">
        <v>-2.7016814660872E-2</v>
      </c>
      <c r="G327">
        <v>2.5243355657000001E-5</v>
      </c>
      <c r="H327">
        <v>-7.2195779301498009E-2</v>
      </c>
      <c r="I327">
        <v>1.082347756118665</v>
      </c>
    </row>
    <row r="328" spans="1:9" x14ac:dyDescent="0.2">
      <c r="A328" s="1" t="s">
        <v>328</v>
      </c>
      <c r="B328" t="str">
        <f>HYPERLINK("https://www.suredividend.com/sure-analysis-CASS/","Cass Information Systems Inc")</f>
        <v>Cass Information Systems Inc</v>
      </c>
      <c r="C328">
        <v>0.137174541947926</v>
      </c>
      <c r="D328">
        <v>0.17222543905645399</v>
      </c>
      <c r="E328">
        <v>0.24030396255686101</v>
      </c>
      <c r="F328">
        <v>4.7058823529411001E-2</v>
      </c>
      <c r="G328">
        <v>-1.9689343148216E-2</v>
      </c>
      <c r="H328">
        <v>0.22341211896431401</v>
      </c>
      <c r="I328">
        <v>2.7324165748311001E-2</v>
      </c>
    </row>
    <row r="329" spans="1:9" x14ac:dyDescent="0.2">
      <c r="A329" s="1" t="s">
        <v>329</v>
      </c>
      <c r="B329" t="str">
        <f>HYPERLINK("https://www.suredividend.com/sure-analysis-CATC/","Cambridge Bancorp")</f>
        <v>Cambridge Bancorp</v>
      </c>
      <c r="C329">
        <v>-2.7837752601820001E-3</v>
      </c>
      <c r="D329">
        <v>0.114049010025932</v>
      </c>
      <c r="E329">
        <v>0.23463279201214901</v>
      </c>
      <c r="F329">
        <v>-3.2671779077942012E-2</v>
      </c>
      <c r="G329">
        <v>-0.109779833948289</v>
      </c>
      <c r="H329">
        <v>-0.150666604680954</v>
      </c>
      <c r="I329">
        <v>3.2385867756659997E-2</v>
      </c>
    </row>
    <row r="330" spans="1:9" x14ac:dyDescent="0.2">
      <c r="A330" s="1" t="s">
        <v>330</v>
      </c>
      <c r="B330" t="str">
        <f>HYPERLINK("https://www.suredividend.com/sure-analysis-research-database/","Cato Corp.")</f>
        <v>Cato Corp.</v>
      </c>
      <c r="C330">
        <v>-5.7023643949930002E-2</v>
      </c>
      <c r="D330">
        <v>1.5547766693628E-2</v>
      </c>
      <c r="E330">
        <v>-0.101951070903479</v>
      </c>
      <c r="F330">
        <v>-5.0420168067225997E-2</v>
      </c>
      <c r="G330">
        <v>-0.21804719396581501</v>
      </c>
      <c r="H330">
        <v>-0.54723633862447996</v>
      </c>
      <c r="I330">
        <v>-0.40975214813653998</v>
      </c>
    </row>
    <row r="331" spans="1:9" x14ac:dyDescent="0.2">
      <c r="A331" s="1" t="s">
        <v>331</v>
      </c>
      <c r="B331" t="str">
        <f>HYPERLINK("https://www.suredividend.com/sure-analysis-research-database/","Cathay General Bancorp")</f>
        <v>Cathay General Bancorp</v>
      </c>
      <c r="C331">
        <v>-6.6510538641686004E-2</v>
      </c>
      <c r="D331">
        <v>9.4309371636906003E-2</v>
      </c>
      <c r="E331">
        <v>0.17967036707103701</v>
      </c>
      <c r="F331">
        <v>-0.10567646398923</v>
      </c>
      <c r="G331">
        <v>-4.8442080536271012E-2</v>
      </c>
      <c r="H331">
        <v>-8.4206584246790006E-2</v>
      </c>
      <c r="I331">
        <v>0.22635211011940401</v>
      </c>
    </row>
    <row r="332" spans="1:9" x14ac:dyDescent="0.2">
      <c r="A332" s="1" t="s">
        <v>332</v>
      </c>
      <c r="B332" t="str">
        <f>HYPERLINK("https://www.suredividend.com/sure-analysis-research-database/","Colony Bankcorp, Inc.")</f>
        <v>Colony Bankcorp, Inc.</v>
      </c>
      <c r="C332">
        <v>-6.612061455288501E-2</v>
      </c>
      <c r="D332">
        <v>8.7337776218870011E-2</v>
      </c>
      <c r="E332">
        <v>0.131922788457742</v>
      </c>
      <c r="F332">
        <v>-0.12931263521463501</v>
      </c>
      <c r="G332">
        <v>-2.6935312831388999E-2</v>
      </c>
      <c r="H332">
        <v>-0.30427925878749201</v>
      </c>
      <c r="I332">
        <v>-0.11883104910577</v>
      </c>
    </row>
    <row r="333" spans="1:9" x14ac:dyDescent="0.2">
      <c r="A333" s="1" t="s">
        <v>333</v>
      </c>
      <c r="B333" t="str">
        <f>HYPERLINK("https://www.suredividend.com/sure-analysis-research-database/","Cymabay Therapeutics Inc")</f>
        <v>Cymabay Therapeutics Inc</v>
      </c>
      <c r="C333">
        <v>0.314285714285714</v>
      </c>
      <c r="D333">
        <v>0.72561629153269003</v>
      </c>
      <c r="E333">
        <v>1.71043771043771</v>
      </c>
      <c r="F333">
        <v>0.36325148179508798</v>
      </c>
      <c r="G333">
        <v>2.975308641975309</v>
      </c>
      <c r="H333">
        <v>8.5266272189349124</v>
      </c>
      <c r="I333">
        <v>2.2296890672016039</v>
      </c>
    </row>
    <row r="334" spans="1:9" x14ac:dyDescent="0.2">
      <c r="A334" s="1" t="s">
        <v>334</v>
      </c>
      <c r="B334" t="str">
        <f>HYPERLINK("https://www.suredividend.com/sure-analysis-research-database/","CBL&amp; Associates Properties, Inc.")</f>
        <v>CBL&amp; Associates Properties, Inc.</v>
      </c>
      <c r="C334">
        <v>-3.9414872003250001E-2</v>
      </c>
      <c r="D334">
        <v>5.2322320450842001E-2</v>
      </c>
      <c r="E334">
        <v>0.12500178458404901</v>
      </c>
      <c r="F334">
        <v>-3.1941031941031997E-2</v>
      </c>
      <c r="G334">
        <v>-5.0789202124883012E-2</v>
      </c>
      <c r="H334">
        <v>2.0077929811388999E-2</v>
      </c>
      <c r="I334">
        <v>-6.6969783082315007E-2</v>
      </c>
    </row>
    <row r="335" spans="1:9" x14ac:dyDescent="0.2">
      <c r="A335" s="1" t="s">
        <v>335</v>
      </c>
      <c r="B335" t="str">
        <f>HYPERLINK("https://www.suredividend.com/sure-analysis-research-database/","Capital Bancorp Inc")</f>
        <v>Capital Bancorp Inc</v>
      </c>
      <c r="C335">
        <v>-8.4027452677696013E-2</v>
      </c>
      <c r="D335">
        <v>1.5670910871694001E-2</v>
      </c>
      <c r="E335">
        <v>8.7224327823821002E-2</v>
      </c>
      <c r="F335">
        <v>-0.136261603621537</v>
      </c>
      <c r="G335">
        <v>-3.2679738562089999E-3</v>
      </c>
      <c r="H335">
        <v>-0.116702583453292</v>
      </c>
      <c r="I335">
        <v>0.81905889575932911</v>
      </c>
    </row>
    <row r="336" spans="1:9" x14ac:dyDescent="0.2">
      <c r="A336" s="1" t="s">
        <v>336</v>
      </c>
      <c r="B336" t="str">
        <f>HYPERLINK("https://www.suredividend.com/sure-analysis-CBRL/","Cracker Barrel Old Country Store Inc")</f>
        <v>Cracker Barrel Old Country Store Inc</v>
      </c>
      <c r="C336">
        <v>-2.5846823561419999E-2</v>
      </c>
      <c r="D336">
        <v>-5.1361093484847013E-2</v>
      </c>
      <c r="E336">
        <v>-0.11136315973002101</v>
      </c>
      <c r="F336">
        <v>-5.4069048600323001E-2</v>
      </c>
      <c r="G336">
        <v>-0.289755257655884</v>
      </c>
      <c r="H336">
        <v>-0.37605374250127399</v>
      </c>
      <c r="I336">
        <v>-0.47548490728146497</v>
      </c>
    </row>
    <row r="337" spans="1:9" x14ac:dyDescent="0.2">
      <c r="A337" s="1" t="s">
        <v>337</v>
      </c>
      <c r="B337" t="str">
        <f>HYPERLINK("https://www.suredividend.com/sure-analysis-research-database/","Cabot Corp.")</f>
        <v>Cabot Corp.</v>
      </c>
      <c r="C337">
        <v>7.9165552286707006E-2</v>
      </c>
      <c r="D337">
        <v>4.1432763707034997E-2</v>
      </c>
      <c r="E337">
        <v>0.16336901286625499</v>
      </c>
      <c r="F337">
        <v>-3.3532934131735997E-2</v>
      </c>
      <c r="G337">
        <v>3.1502363380260003E-2</v>
      </c>
      <c r="H337">
        <v>0.135575308906034</v>
      </c>
      <c r="I337">
        <v>0.93779370060967204</v>
      </c>
    </row>
    <row r="338" spans="1:9" x14ac:dyDescent="0.2">
      <c r="A338" s="1" t="s">
        <v>338</v>
      </c>
      <c r="B338" t="str">
        <f>HYPERLINK("https://www.suredividend.com/sure-analysis-CBU/","Community Bank System, Inc.")</f>
        <v>Community Bank System, Inc.</v>
      </c>
      <c r="C338">
        <v>-8.2116788321167006E-2</v>
      </c>
      <c r="D338">
        <v>5.7720250076650007E-3</v>
      </c>
      <c r="E338">
        <v>-5.0037247269406997E-2</v>
      </c>
      <c r="F338">
        <v>-0.131260794473229</v>
      </c>
      <c r="G338">
        <v>-0.22820405282378001</v>
      </c>
      <c r="H338">
        <v>-0.34186902219502002</v>
      </c>
      <c r="I338">
        <v>-0.19581761207392701</v>
      </c>
    </row>
    <row r="339" spans="1:9" x14ac:dyDescent="0.2">
      <c r="A339" s="1" t="s">
        <v>339</v>
      </c>
      <c r="B339" t="str">
        <f>HYPERLINK("https://www.suredividend.com/sure-analysis-research-database/","Cbiz Inc")</f>
        <v>Cbiz Inc</v>
      </c>
      <c r="C339">
        <v>0.14026792750196901</v>
      </c>
      <c r="D339">
        <v>0.24633936261843201</v>
      </c>
      <c r="E339">
        <v>0.35410817892569701</v>
      </c>
      <c r="F339">
        <v>0.15593545294775499</v>
      </c>
      <c r="G339">
        <v>0.44728945789157798</v>
      </c>
      <c r="H339">
        <v>0.91149273447820311</v>
      </c>
      <c r="I339">
        <v>2.396713615023474</v>
      </c>
    </row>
    <row r="340" spans="1:9" x14ac:dyDescent="0.2">
      <c r="A340" s="1" t="s">
        <v>340</v>
      </c>
      <c r="B340" t="str">
        <f>HYPERLINK("https://www.suredividend.com/sure-analysis-research-database/","Coastal Financial Corp")</f>
        <v>Coastal Financial Corp</v>
      </c>
      <c r="C340">
        <v>-4.6209386281588001E-2</v>
      </c>
      <c r="D340">
        <v>-1.8573551263001E-2</v>
      </c>
      <c r="E340">
        <v>-9.8293515358361006E-2</v>
      </c>
      <c r="F340">
        <v>-0.10763341589732001</v>
      </c>
      <c r="G340">
        <v>-0.14774193548386999</v>
      </c>
      <c r="H340">
        <v>-0.16091467287740799</v>
      </c>
      <c r="I340">
        <v>1.4372693726937269</v>
      </c>
    </row>
    <row r="341" spans="1:9" x14ac:dyDescent="0.2">
      <c r="A341" s="1" t="s">
        <v>341</v>
      </c>
      <c r="B341" t="str">
        <f>HYPERLINK("https://www.suredividend.com/sure-analysis-research-database/","Capital City Bank Group, Inc.")</f>
        <v>Capital City Bank Group, Inc.</v>
      </c>
      <c r="C341">
        <v>4.4968669369701002E-2</v>
      </c>
      <c r="D341">
        <v>2.2236805573083E-2</v>
      </c>
      <c r="E341">
        <v>-5.5566660003997001E-2</v>
      </c>
      <c r="F341">
        <v>-3.6697247706421E-2</v>
      </c>
      <c r="G341">
        <v>-0.13775536583808001</v>
      </c>
      <c r="H341">
        <v>9.1614781272741003E-2</v>
      </c>
      <c r="I341">
        <v>0.26528043702384602</v>
      </c>
    </row>
    <row r="342" spans="1:9" x14ac:dyDescent="0.2">
      <c r="A342" s="1" t="s">
        <v>342</v>
      </c>
      <c r="B342" t="str">
        <f>HYPERLINK("https://www.suredividend.com/sure-analysis-research-database/","CNB Financial Corp (PA)")</f>
        <v>CNB Financial Corp (PA)</v>
      </c>
      <c r="C342">
        <v>-1.4367816091954E-2</v>
      </c>
      <c r="D342">
        <v>-8.899676375404E-3</v>
      </c>
      <c r="E342">
        <v>0.163296798955407</v>
      </c>
      <c r="F342">
        <v>-8.8977423638778003E-2</v>
      </c>
      <c r="G342">
        <v>-0.103170279986926</v>
      </c>
      <c r="H342">
        <v>-0.15008197702991199</v>
      </c>
      <c r="I342">
        <v>-0.124240412602767</v>
      </c>
    </row>
    <row r="343" spans="1:9" x14ac:dyDescent="0.2">
      <c r="A343" s="1" t="s">
        <v>343</v>
      </c>
      <c r="B343" t="str">
        <f>HYPERLINK("https://www.suredividend.com/sure-analysis-research-database/","Clear Channel Outdoor Holdings Inc.")</f>
        <v>Clear Channel Outdoor Holdings Inc.</v>
      </c>
      <c r="C343">
        <v>2.4096385542167999E-2</v>
      </c>
      <c r="D343">
        <v>0.22302158273381201</v>
      </c>
      <c r="E343">
        <v>0.156462585034013</v>
      </c>
      <c r="F343">
        <v>-6.5934065934066005E-2</v>
      </c>
      <c r="G343">
        <v>-8.1081081081081002E-2</v>
      </c>
      <c r="H343">
        <v>-0.54666666666666608</v>
      </c>
      <c r="I343">
        <v>-0.61797752808988704</v>
      </c>
    </row>
    <row r="344" spans="1:9" x14ac:dyDescent="0.2">
      <c r="A344" s="1" t="s">
        <v>344</v>
      </c>
      <c r="B344" t="str">
        <f>HYPERLINK("https://www.suredividend.com/sure-analysis-CCOI/","Cogent Communications Holdings Inc")</f>
        <v>Cogent Communications Holdings Inc</v>
      </c>
      <c r="C344">
        <v>2.0432532837999E-2</v>
      </c>
      <c r="D344">
        <v>0.180361582614567</v>
      </c>
      <c r="E344">
        <v>0.17389738204551999</v>
      </c>
      <c r="F344">
        <v>1.1175387851696E-2</v>
      </c>
      <c r="G344">
        <v>0.23259328588439401</v>
      </c>
      <c r="H344">
        <v>0.40380017157354797</v>
      </c>
      <c r="I344">
        <v>1.022106187523991</v>
      </c>
    </row>
    <row r="345" spans="1:9" x14ac:dyDescent="0.2">
      <c r="A345" s="1" t="s">
        <v>345</v>
      </c>
      <c r="B345" t="str">
        <f>HYPERLINK("https://www.suredividend.com/sure-analysis-research-database/","CoreCard Corporation")</f>
        <v>CoreCard Corporation</v>
      </c>
      <c r="C345">
        <v>-4.8387096774193013E-2</v>
      </c>
      <c r="D345">
        <v>-0.32793764988009511</v>
      </c>
      <c r="E345">
        <v>-0.48859489051094812</v>
      </c>
      <c r="F345">
        <v>-0.189443239334779</v>
      </c>
      <c r="G345">
        <v>-0.67029411764705804</v>
      </c>
      <c r="H345">
        <v>-0.6714536928487691</v>
      </c>
      <c r="I345">
        <v>-0.34673659673659601</v>
      </c>
    </row>
    <row r="346" spans="1:9" x14ac:dyDescent="0.2">
      <c r="A346" s="1" t="s">
        <v>346</v>
      </c>
      <c r="B346" t="str">
        <f>HYPERLINK("https://www.suredividend.com/sure-analysis-research-database/","Cross Country Healthcares, Inc.")</f>
        <v>Cross Country Healthcares, Inc.</v>
      </c>
      <c r="C346">
        <v>-0.206630336058128</v>
      </c>
      <c r="D346">
        <v>-0.18326320710612401</v>
      </c>
      <c r="E346">
        <v>-0.29979959919839599</v>
      </c>
      <c r="F346">
        <v>-0.228356890459364</v>
      </c>
      <c r="G346">
        <v>-0.31757812499999999</v>
      </c>
      <c r="H346">
        <v>-0.17942696101455999</v>
      </c>
      <c r="I346">
        <v>0.89891304347826007</v>
      </c>
    </row>
    <row r="347" spans="1:9" x14ac:dyDescent="0.2">
      <c r="A347" s="1" t="s">
        <v>347</v>
      </c>
      <c r="B347" t="str">
        <f>HYPERLINK("https://www.suredividend.com/sure-analysis-research-database/","Century Communities Inc")</f>
        <v>Century Communities Inc</v>
      </c>
      <c r="C347">
        <v>-3.5036166365280001E-2</v>
      </c>
      <c r="D347">
        <v>0.19032515757378801</v>
      </c>
      <c r="E347">
        <v>0.230596272754788</v>
      </c>
      <c r="F347">
        <v>-6.3199473337722009E-2</v>
      </c>
      <c r="G347">
        <v>0.44335369265593599</v>
      </c>
      <c r="H347">
        <v>0.40637662825403698</v>
      </c>
      <c r="I347">
        <v>2.731300885845267</v>
      </c>
    </row>
    <row r="348" spans="1:9" x14ac:dyDescent="0.2">
      <c r="A348" s="1" t="s">
        <v>348</v>
      </c>
      <c r="B348" t="str">
        <f>HYPERLINK("https://www.suredividend.com/sure-analysis-research-database/","Consensus Cloud Solutions Inc")</f>
        <v>Consensus Cloud Solutions Inc</v>
      </c>
      <c r="C348">
        <v>2.6688453159041E-2</v>
      </c>
      <c r="D348">
        <v>-0.18433578537429601</v>
      </c>
      <c r="E348">
        <v>-0.37124749833222098</v>
      </c>
      <c r="F348">
        <v>-0.28080885158336499</v>
      </c>
      <c r="G348">
        <v>-0.69057780695994708</v>
      </c>
      <c r="H348">
        <v>-0.66315225160829105</v>
      </c>
      <c r="I348">
        <v>-0.70946362515413008</v>
      </c>
    </row>
    <row r="349" spans="1:9" x14ac:dyDescent="0.2">
      <c r="A349" s="1" t="s">
        <v>349</v>
      </c>
      <c r="B349" t="str">
        <f>HYPERLINK("https://www.suredividend.com/sure-analysis-research-database/","Coeur Mining Inc")</f>
        <v>Coeur Mining Inc</v>
      </c>
      <c r="C349">
        <v>7.6923076923070006E-3</v>
      </c>
      <c r="D349">
        <v>2.34375E-2</v>
      </c>
      <c r="E349">
        <v>3.5573122529644001E-2</v>
      </c>
      <c r="F349">
        <v>-0.19631901840490701</v>
      </c>
      <c r="G349">
        <v>-0.20845921450151</v>
      </c>
      <c r="H349">
        <v>-0.387850467289719</v>
      </c>
      <c r="I349">
        <v>-0.52792792792792709</v>
      </c>
    </row>
    <row r="350" spans="1:9" x14ac:dyDescent="0.2">
      <c r="A350" s="1" t="s">
        <v>350</v>
      </c>
      <c r="B350" t="str">
        <f>HYPERLINK("https://www.suredividend.com/sure-analysis-research-database/","Cardlytics Inc")</f>
        <v>Cardlytics Inc</v>
      </c>
      <c r="C350">
        <v>3.8897893030794002E-2</v>
      </c>
      <c r="D350">
        <v>-0.187579214195183</v>
      </c>
      <c r="E350">
        <v>-0.49725490196078398</v>
      </c>
      <c r="F350">
        <v>-0.30401737242128102</v>
      </c>
      <c r="G350">
        <v>-2.4353120243531E-2</v>
      </c>
      <c r="H350">
        <v>-0.89016449623029403</v>
      </c>
      <c r="I350">
        <v>-0.652950730914997</v>
      </c>
    </row>
    <row r="351" spans="1:9" x14ac:dyDescent="0.2">
      <c r="A351" s="1" t="s">
        <v>351</v>
      </c>
      <c r="B351" t="str">
        <f>HYPERLINK("https://www.suredividend.com/sure-analysis-research-database/","Avid Bioservices Inc")</f>
        <v>Avid Bioservices Inc</v>
      </c>
      <c r="C351">
        <v>0.2</v>
      </c>
      <c r="D351">
        <v>0.30755711775043898</v>
      </c>
      <c r="E351">
        <v>-0.38714991762767698</v>
      </c>
      <c r="F351">
        <v>0.14461538461538401</v>
      </c>
      <c r="G351">
        <v>-0.55045317220543799</v>
      </c>
      <c r="H351">
        <v>-0.61570247933884203</v>
      </c>
      <c r="I351">
        <v>0.82352941176470507</v>
      </c>
    </row>
    <row r="352" spans="1:9" x14ac:dyDescent="0.2">
      <c r="A352" s="1" t="s">
        <v>352</v>
      </c>
      <c r="B352" t="str">
        <f>HYPERLINK("https://www.suredividend.com/sure-analysis-research-database/","Caredx Inc")</f>
        <v>Caredx Inc</v>
      </c>
      <c r="C352">
        <v>-0.11027027027027</v>
      </c>
      <c r="D352">
        <v>-0.14979338842975101</v>
      </c>
      <c r="E352">
        <v>-2.1403091557669E-2</v>
      </c>
      <c r="F352">
        <v>-0.31416666666666598</v>
      </c>
      <c r="G352">
        <v>-0.47243589743589698</v>
      </c>
      <c r="H352">
        <v>-0.78415945449777003</v>
      </c>
      <c r="I352">
        <v>-0.69371045775958307</v>
      </c>
    </row>
    <row r="353" spans="1:9" x14ac:dyDescent="0.2">
      <c r="A353" s="1" t="s">
        <v>353</v>
      </c>
      <c r="B353" t="str">
        <f>HYPERLINK("https://www.suredividend.com/sure-analysis-CDP/","COPT Defense Properties")</f>
        <v>COPT Defense Properties</v>
      </c>
      <c r="C353">
        <v>-2.6961770623741999E-2</v>
      </c>
      <c r="D353">
        <v>8.3528984933080013E-3</v>
      </c>
      <c r="E353">
        <v>-3.4345047923322013E-2</v>
      </c>
      <c r="F353">
        <v>-5.6574326960593002E-2</v>
      </c>
      <c r="G353">
        <v>-5.6938599604522001E-2</v>
      </c>
      <c r="H353">
        <v>9.4642491848720006E-3</v>
      </c>
      <c r="I353">
        <v>0.119942196531791</v>
      </c>
    </row>
    <row r="354" spans="1:9" x14ac:dyDescent="0.2">
      <c r="A354" s="1" t="s">
        <v>354</v>
      </c>
      <c r="B354" t="str">
        <f>HYPERLINK("https://www.suredividend.com/sure-analysis-research-database/","Cadre Holdings Inc")</f>
        <v>Cadre Holdings Inc</v>
      </c>
      <c r="C354">
        <v>4.5757861794403012E-2</v>
      </c>
      <c r="D354">
        <v>0.100333358397874</v>
      </c>
      <c r="E354">
        <v>0.44413832805625197</v>
      </c>
      <c r="F354">
        <v>7.0558720694521002E-2</v>
      </c>
      <c r="G354">
        <v>0.49686306601200197</v>
      </c>
      <c r="H354">
        <v>0.62490283895325105</v>
      </c>
      <c r="I354">
        <v>1.373967472860252</v>
      </c>
    </row>
    <row r="355" spans="1:9" x14ac:dyDescent="0.2">
      <c r="A355" s="1" t="s">
        <v>355</v>
      </c>
      <c r="B355" t="str">
        <f>HYPERLINK("https://www.suredividend.com/sure-analysis-research-database/","Codexis Inc.")</f>
        <v>Codexis Inc.</v>
      </c>
      <c r="C355">
        <v>7.4349442379182007E-2</v>
      </c>
      <c r="D355">
        <v>0.45226130653266311</v>
      </c>
      <c r="E355">
        <v>0.74096385542168608</v>
      </c>
      <c r="F355">
        <v>-5.2459016393442012E-2</v>
      </c>
      <c r="G355">
        <v>-0.49563699825479912</v>
      </c>
      <c r="H355">
        <v>-0.84293478260869503</v>
      </c>
      <c r="I355">
        <v>-0.86743119266055002</v>
      </c>
    </row>
    <row r="356" spans="1:9" x14ac:dyDescent="0.2">
      <c r="A356" s="1" t="s">
        <v>356</v>
      </c>
      <c r="B356" t="str">
        <f>HYPERLINK("https://www.suredividend.com/sure-analysis-research-database/","Cadiz Inc.")</f>
        <v>Cadiz Inc.</v>
      </c>
      <c r="C356">
        <v>0.13178294573643401</v>
      </c>
      <c r="D356">
        <v>-2.6666666666665999E-2</v>
      </c>
      <c r="E356">
        <v>-0.229551451187335</v>
      </c>
      <c r="F356">
        <v>4.2857142857141997E-2</v>
      </c>
      <c r="G356">
        <v>-0.29807692307692302</v>
      </c>
      <c r="H356">
        <v>0.29203539823008801</v>
      </c>
      <c r="I356">
        <v>-0.70916334661354508</v>
      </c>
    </row>
    <row r="357" spans="1:9" x14ac:dyDescent="0.2">
      <c r="A357" s="1" t="s">
        <v>357</v>
      </c>
      <c r="B357" t="str">
        <f>HYPERLINK("https://www.suredividend.com/sure-analysis-research-database/","Ceco Environmental Corp.")</f>
        <v>Ceco Environmental Corp.</v>
      </c>
      <c r="C357">
        <v>7.1466384330333005E-2</v>
      </c>
      <c r="D357">
        <v>4.7077082255561002E-2</v>
      </c>
      <c r="E357">
        <v>0.53682611996962704</v>
      </c>
      <c r="F357">
        <v>-1.9723865877709999E-3</v>
      </c>
      <c r="G357">
        <v>0.39298004129387398</v>
      </c>
      <c r="H357">
        <v>2.5823008849557518</v>
      </c>
      <c r="I357">
        <v>1.7650273224043711</v>
      </c>
    </row>
    <row r="358" spans="1:9" x14ac:dyDescent="0.2">
      <c r="A358" s="1" t="s">
        <v>358</v>
      </c>
      <c r="B358" t="str">
        <f>HYPERLINK("https://www.suredividend.com/sure-analysis-research-database/","Consol Energy Inc")</f>
        <v>Consol Energy Inc</v>
      </c>
      <c r="C358">
        <v>-0.24405469678953601</v>
      </c>
      <c r="D358">
        <v>-0.24435419968304201</v>
      </c>
      <c r="E358">
        <v>-9.146123615576901E-2</v>
      </c>
      <c r="F358">
        <v>-0.24112205311847201</v>
      </c>
      <c r="G358">
        <v>0.44024375969884899</v>
      </c>
      <c r="H358">
        <v>1.8913388691601889</v>
      </c>
      <c r="I358">
        <v>1.2456993488678769</v>
      </c>
    </row>
    <row r="359" spans="1:9" x14ac:dyDescent="0.2">
      <c r="A359" s="1" t="s">
        <v>359</v>
      </c>
      <c r="B359" t="str">
        <f>HYPERLINK("https://www.suredividend.com/sure-analysis-research-database/","Celcuity Inc")</f>
        <v>Celcuity Inc</v>
      </c>
      <c r="C359">
        <v>-2.4390243902437998E-2</v>
      </c>
      <c r="D359">
        <v>0.10091743119266</v>
      </c>
      <c r="E359">
        <v>0.57377049180327799</v>
      </c>
      <c r="F359">
        <v>-1.1667810569663E-2</v>
      </c>
      <c r="G359">
        <v>0.246753246753246</v>
      </c>
      <c r="H359">
        <v>0.40487804878048811</v>
      </c>
      <c r="I359">
        <v>-0.39034716342082898</v>
      </c>
    </row>
    <row r="360" spans="1:9" x14ac:dyDescent="0.2">
      <c r="A360" s="1" t="s">
        <v>360</v>
      </c>
      <c r="B360" t="str">
        <f>HYPERLINK("https://www.suredividend.com/sure-analysis-research-database/","Central Garden &amp; Pet Co.")</f>
        <v>Central Garden &amp; Pet Co.</v>
      </c>
      <c r="C360">
        <v>0.40752087052954411</v>
      </c>
      <c r="D360">
        <v>0.52203575799350099</v>
      </c>
      <c r="E360">
        <v>0.51547514417673002</v>
      </c>
      <c r="F360">
        <v>0.33280776526816203</v>
      </c>
      <c r="G360">
        <v>0.54922216733603901</v>
      </c>
      <c r="H360">
        <v>0.41407870877101199</v>
      </c>
      <c r="I360">
        <v>1.1061749663002269</v>
      </c>
    </row>
    <row r="361" spans="1:9" x14ac:dyDescent="0.2">
      <c r="A361" s="1" t="s">
        <v>361</v>
      </c>
      <c r="B361" t="str">
        <f>HYPERLINK("https://www.suredividend.com/sure-analysis-research-database/","Central Garden &amp; Pet Co.")</f>
        <v>Central Garden &amp; Pet Co.</v>
      </c>
      <c r="C361">
        <v>0.110378715244487</v>
      </c>
      <c r="D361">
        <v>0.155236907730673</v>
      </c>
      <c r="E361">
        <v>0.12932715748415399</v>
      </c>
      <c r="F361">
        <v>5.1884650317892002E-2</v>
      </c>
      <c r="G361">
        <v>0.134026927784577</v>
      </c>
      <c r="H361">
        <v>5.5479608111186997E-2</v>
      </c>
      <c r="I361">
        <v>0.63808345120226306</v>
      </c>
    </row>
    <row r="362" spans="1:9" x14ac:dyDescent="0.2">
      <c r="A362" s="1" t="s">
        <v>362</v>
      </c>
      <c r="B362" t="str">
        <f>HYPERLINK("https://www.suredividend.com/sure-analysis-research-database/","Century Aluminum Co.")</f>
        <v>Century Aluminum Co.</v>
      </c>
      <c r="C362">
        <v>-5.8422590068150006E-3</v>
      </c>
      <c r="D362">
        <v>0.26517967781908303</v>
      </c>
      <c r="E362">
        <v>0.26049382716049402</v>
      </c>
      <c r="F362">
        <v>-0.15897858319604599</v>
      </c>
      <c r="G362">
        <v>-1.4478764478764001E-2</v>
      </c>
      <c r="H362">
        <v>-0.521331458040318</v>
      </c>
      <c r="I362">
        <v>0.112200435729847</v>
      </c>
    </row>
    <row r="363" spans="1:9" x14ac:dyDescent="0.2">
      <c r="A363" s="1" t="s">
        <v>363</v>
      </c>
      <c r="B363" t="str">
        <f>HYPERLINK("https://www.suredividend.com/sure-analysis-research-database/","Cerevel Therapeutics Holdings Inc")</f>
        <v>Cerevel Therapeutics Holdings Inc</v>
      </c>
      <c r="C363">
        <v>-2.8639053254437E-2</v>
      </c>
      <c r="D363">
        <v>0.67510204081632608</v>
      </c>
      <c r="E363">
        <v>0.9598853868194841</v>
      </c>
      <c r="F363">
        <v>-3.2075471698112999E-2</v>
      </c>
      <c r="G363">
        <v>0.22179220005954101</v>
      </c>
      <c r="H363">
        <v>0.71</v>
      </c>
      <c r="I363">
        <v>2.3917355371900828</v>
      </c>
    </row>
    <row r="364" spans="1:9" x14ac:dyDescent="0.2">
      <c r="A364" s="1" t="s">
        <v>364</v>
      </c>
      <c r="B364" t="str">
        <f>HYPERLINK("https://www.suredividend.com/sure-analysis-research-database/","Cerus Corp.")</f>
        <v>Cerus Corp.</v>
      </c>
      <c r="C364">
        <v>0.3125</v>
      </c>
      <c r="D364">
        <v>0.29050279329608902</v>
      </c>
      <c r="E364">
        <v>0.35087719298245601</v>
      </c>
      <c r="F364">
        <v>6.9444444444444003E-2</v>
      </c>
      <c r="G364">
        <v>-0.23</v>
      </c>
      <c r="H364">
        <v>-0.56660412757973699</v>
      </c>
      <c r="I364">
        <v>-0.65315315315315303</v>
      </c>
    </row>
    <row r="365" spans="1:9" x14ac:dyDescent="0.2">
      <c r="A365" s="1" t="s">
        <v>365</v>
      </c>
      <c r="B365" t="str">
        <f>HYPERLINK("https://www.suredividend.com/sure-analysis-research-database/","Ceva Inc.")</f>
        <v>Ceva Inc.</v>
      </c>
      <c r="C365">
        <v>0.11149144254278701</v>
      </c>
      <c r="D365">
        <v>-7.8568310781309998E-3</v>
      </c>
      <c r="E365">
        <v>0.102862688015526</v>
      </c>
      <c r="F365">
        <v>8.8066930867400004E-4</v>
      </c>
      <c r="G365">
        <v>-0.31142078158133801</v>
      </c>
      <c r="H365">
        <v>-0.43373193821624301</v>
      </c>
      <c r="I365">
        <v>-0.20607754104086601</v>
      </c>
    </row>
    <row r="366" spans="1:9" x14ac:dyDescent="0.2">
      <c r="A366" s="1" t="s">
        <v>366</v>
      </c>
      <c r="B366" t="str">
        <f>HYPERLINK("https://www.suredividend.com/sure-analysis-research-database/","Crossfirst Bankshares Inc")</f>
        <v>Crossfirst Bankshares Inc</v>
      </c>
      <c r="C366">
        <v>1.3677811550150999E-2</v>
      </c>
      <c r="D366">
        <v>0.13435374149659801</v>
      </c>
      <c r="E366">
        <v>0.193202146690518</v>
      </c>
      <c r="F366">
        <v>-1.7673048600883E-2</v>
      </c>
      <c r="G366">
        <v>-7.6816608996539013E-2</v>
      </c>
      <c r="H366">
        <v>-0.16988176726820101</v>
      </c>
      <c r="I366">
        <v>-8.6301369863013011E-2</v>
      </c>
    </row>
    <row r="367" spans="1:9" x14ac:dyDescent="0.2">
      <c r="A367" s="1" t="s">
        <v>367</v>
      </c>
      <c r="B367" t="str">
        <f>HYPERLINK("https://www.suredividend.com/sure-analysis-CFFI/","C &amp; F Financial Corp")</f>
        <v>C &amp; F Financial Corp</v>
      </c>
      <c r="C367">
        <v>-7.124056852079301E-2</v>
      </c>
      <c r="D367">
        <v>-7.7604595073122007E-2</v>
      </c>
      <c r="E367">
        <v>-1.1745903123838001E-2</v>
      </c>
      <c r="F367">
        <v>-0.22378647895585799</v>
      </c>
      <c r="G367">
        <v>-5.3100099824322997E-2</v>
      </c>
      <c r="H367">
        <v>0.13553718653659999</v>
      </c>
      <c r="I367">
        <v>0.26803955765950499</v>
      </c>
    </row>
    <row r="368" spans="1:9" x14ac:dyDescent="0.2">
      <c r="A368" s="1" t="s">
        <v>368</v>
      </c>
      <c r="B368" t="str">
        <f>HYPERLINK("https://www.suredividend.com/sure-analysis-research-database/","Capitol Federal Financial")</f>
        <v>Capitol Federal Financial</v>
      </c>
      <c r="C368">
        <v>1.5280837004404999E-2</v>
      </c>
      <c r="D368">
        <v>0.143632486916069</v>
      </c>
      <c r="E368">
        <v>7.7373733923170006E-3</v>
      </c>
      <c r="F368">
        <v>-6.0270132517838013E-2</v>
      </c>
      <c r="G368">
        <v>-0.23769655154592501</v>
      </c>
      <c r="H368">
        <v>-0.35598659578880698</v>
      </c>
      <c r="I368">
        <v>-0.359927096781192</v>
      </c>
    </row>
    <row r="369" spans="1:9" x14ac:dyDescent="0.2">
      <c r="A369" s="1" t="s">
        <v>369</v>
      </c>
      <c r="B369" t="str">
        <f>HYPERLINK("https://www.suredividend.com/sure-analysis-research-database/","Cullinan Oncology Inc")</f>
        <v>Cullinan Oncology Inc</v>
      </c>
      <c r="C369">
        <v>0.51172893136403108</v>
      </c>
      <c r="D369">
        <v>0.98630136986301309</v>
      </c>
      <c r="E369">
        <v>0.66030534351145009</v>
      </c>
      <c r="F369">
        <v>0.70755642787046102</v>
      </c>
      <c r="G369">
        <v>0.53439153439153408</v>
      </c>
      <c r="H369">
        <v>0.21934127540294299</v>
      </c>
      <c r="I369">
        <v>-0.41825476429287811</v>
      </c>
    </row>
    <row r="370" spans="1:9" x14ac:dyDescent="0.2">
      <c r="A370" s="1" t="s">
        <v>370</v>
      </c>
      <c r="B370" t="str">
        <f>HYPERLINK("https://www.suredividend.com/sure-analysis-CHCO/","City Holding Co.")</f>
        <v>City Holding Co.</v>
      </c>
      <c r="C370">
        <v>-2.6099426386232999E-2</v>
      </c>
      <c r="D370">
        <v>5.0051384177384001E-2</v>
      </c>
      <c r="E370">
        <v>0.134046096574817</v>
      </c>
      <c r="F370">
        <v>-6.3563166511466998E-2</v>
      </c>
      <c r="G370">
        <v>7.6802087010936007E-2</v>
      </c>
      <c r="H370">
        <v>0.39599769229398801</v>
      </c>
      <c r="I370">
        <v>0.52552982472954701</v>
      </c>
    </row>
    <row r="371" spans="1:9" x14ac:dyDescent="0.2">
      <c r="A371" s="1" t="s">
        <v>371</v>
      </c>
      <c r="B371" t="str">
        <f>HYPERLINK("https://www.suredividend.com/sure-analysis-CHCT/","Community Healthcare Trust Inc")</f>
        <v>Community Healthcare Trust Inc</v>
      </c>
      <c r="C371">
        <v>5.2623437693354001E-2</v>
      </c>
      <c r="D371">
        <v>3.6845733962600997E-2</v>
      </c>
      <c r="E371">
        <v>-0.122006289815337</v>
      </c>
      <c r="F371">
        <v>3.8792527715762998E-2</v>
      </c>
      <c r="G371">
        <v>-0.29336877738780098</v>
      </c>
      <c r="H371">
        <v>-0.30821174515150901</v>
      </c>
      <c r="I371">
        <v>-1.7924147087685999E-2</v>
      </c>
    </row>
    <row r="372" spans="1:9" x14ac:dyDescent="0.2">
      <c r="A372" s="1" t="s">
        <v>372</v>
      </c>
      <c r="B372" t="str">
        <f>HYPERLINK("https://www.suredividend.com/sure-analysis-research-database/","Chefs` Warehouse Inc")</f>
        <v>Chefs` Warehouse Inc</v>
      </c>
      <c r="C372">
        <v>0.19888047415212301</v>
      </c>
      <c r="D372">
        <v>0.37551945598790998</v>
      </c>
      <c r="E372">
        <v>0.27978910369068499</v>
      </c>
      <c r="F372">
        <v>0.23717295276928199</v>
      </c>
      <c r="G372">
        <v>5.4960153888400007E-4</v>
      </c>
      <c r="H372">
        <v>0.114137086903304</v>
      </c>
      <c r="I372">
        <v>0.108034083992696</v>
      </c>
    </row>
    <row r="373" spans="1:9" x14ac:dyDescent="0.2">
      <c r="A373" s="1" t="s">
        <v>373</v>
      </c>
      <c r="B373" t="str">
        <f>HYPERLINK("https://www.suredividend.com/sure-analysis-research-database/","Chegg Inc")</f>
        <v>Chegg Inc</v>
      </c>
      <c r="C373">
        <v>-0.111788617886178</v>
      </c>
      <c r="D373">
        <v>-0.109072375127421</v>
      </c>
      <c r="E373">
        <v>-0.126</v>
      </c>
      <c r="F373">
        <v>-0.23063380281690099</v>
      </c>
      <c r="G373">
        <v>-0.46577017114914399</v>
      </c>
      <c r="H373">
        <v>-0.69105691056910501</v>
      </c>
      <c r="I373">
        <v>-0.76680896478121607</v>
      </c>
    </row>
    <row r="374" spans="1:9" x14ac:dyDescent="0.2">
      <c r="A374" s="1" t="s">
        <v>374</v>
      </c>
      <c r="B374" t="str">
        <f>HYPERLINK("https://www.suredividend.com/sure-analysis-research-database/","Chemung Financial Corp.")</f>
        <v>Chemung Financial Corp.</v>
      </c>
      <c r="C374">
        <v>-0.110973597359735</v>
      </c>
      <c r="D374">
        <v>-4.5131388591645998E-2</v>
      </c>
      <c r="E374">
        <v>9.5969831586816004E-2</v>
      </c>
      <c r="F374">
        <v>-0.134538152610441</v>
      </c>
      <c r="G374">
        <v>-0.106267120376072</v>
      </c>
      <c r="H374">
        <v>-6.7133273259840009E-3</v>
      </c>
      <c r="I374">
        <v>5.7943906881299002E-2</v>
      </c>
    </row>
    <row r="375" spans="1:9" x14ac:dyDescent="0.2">
      <c r="A375" s="1" t="s">
        <v>375</v>
      </c>
      <c r="B375" t="str">
        <f>HYPERLINK("https://www.suredividend.com/sure-analysis-research-database/","Chord Energy Corp")</f>
        <v>Chord Energy Corp</v>
      </c>
      <c r="C375">
        <v>8.9560183644953009E-2</v>
      </c>
      <c r="D375">
        <v>1.2427352541114999E-2</v>
      </c>
      <c r="E375">
        <v>5.5283992227954007E-2</v>
      </c>
      <c r="F375">
        <v>-1.4919088010587001E-2</v>
      </c>
      <c r="G375">
        <v>0.29999730076896303</v>
      </c>
      <c r="H375">
        <v>0.54775351257342908</v>
      </c>
      <c r="I375">
        <v>5.4418541524880313</v>
      </c>
    </row>
    <row r="376" spans="1:9" x14ac:dyDescent="0.2">
      <c r="A376" s="1" t="s">
        <v>376</v>
      </c>
      <c r="B376" t="str">
        <f>HYPERLINK("https://www.suredividend.com/sure-analysis-research-database/","Coherus Biosciences Inc")</f>
        <v>Coherus Biosciences Inc</v>
      </c>
      <c r="C376">
        <v>6.1475409836064997E-2</v>
      </c>
      <c r="D376">
        <v>0.25120772946859898</v>
      </c>
      <c r="E376">
        <v>-0.42058165548098397</v>
      </c>
      <c r="F376">
        <v>-0.22222222222222199</v>
      </c>
      <c r="G376">
        <v>-0.66794871794871802</v>
      </c>
      <c r="H376">
        <v>-0.78977272727272707</v>
      </c>
      <c r="I376">
        <v>-0.82137931034482703</v>
      </c>
    </row>
    <row r="377" spans="1:9" x14ac:dyDescent="0.2">
      <c r="A377" s="1" t="s">
        <v>377</v>
      </c>
      <c r="B377" t="str">
        <f>HYPERLINK("https://www.suredividend.com/sure-analysis-research-database/","Chuy`s Holdings Inc")</f>
        <v>Chuy`s Holdings Inc</v>
      </c>
      <c r="C377">
        <v>3.9344262295081013E-2</v>
      </c>
      <c r="D377">
        <v>-5.9863169897370009E-3</v>
      </c>
      <c r="E377">
        <v>-6.9885302747399E-2</v>
      </c>
      <c r="F377">
        <v>-8.7889092335861008E-2</v>
      </c>
      <c r="G377">
        <v>-5.3474484256243002E-2</v>
      </c>
      <c r="H377">
        <v>0.112635609444798</v>
      </c>
      <c r="I377">
        <v>0.48572645930975711</v>
      </c>
    </row>
    <row r="378" spans="1:9" x14ac:dyDescent="0.2">
      <c r="A378" s="1" t="s">
        <v>378</v>
      </c>
      <c r="B378" t="str">
        <f>HYPERLINK("https://www.suredividend.com/sure-analysis-research-database/","ChampionX Corp.")</f>
        <v>ChampionX Corp.</v>
      </c>
      <c r="C378">
        <v>0.13325740318906601</v>
      </c>
      <c r="D378">
        <v>1.0405313005625E-2</v>
      </c>
      <c r="E378">
        <v>-0.15165122491900099</v>
      </c>
      <c r="F378">
        <v>2.4934932941443E-2</v>
      </c>
      <c r="G378">
        <v>-2.6406084880428001E-2</v>
      </c>
      <c r="H378">
        <v>0.47499184677873602</v>
      </c>
      <c r="I378">
        <v>-0.25783192441571301</v>
      </c>
    </row>
    <row r="379" spans="1:9" x14ac:dyDescent="0.2">
      <c r="A379" s="1" t="s">
        <v>379</v>
      </c>
      <c r="B379" t="str">
        <f>HYPERLINK("https://www.suredividend.com/sure-analysis-research-database/","Cipher Mining Inc")</f>
        <v>Cipher Mining Inc</v>
      </c>
      <c r="C379">
        <v>0.30597014925373101</v>
      </c>
      <c r="D379">
        <v>0.40562248995983902</v>
      </c>
      <c r="E379">
        <v>0.11642743221690501</v>
      </c>
      <c r="F379">
        <v>-0.152542372881355</v>
      </c>
      <c r="G379">
        <v>0.84210526315789402</v>
      </c>
      <c r="H379">
        <v>0.245551601423487</v>
      </c>
      <c r="I379">
        <v>-0.64285714285714202</v>
      </c>
    </row>
    <row r="380" spans="1:9" x14ac:dyDescent="0.2">
      <c r="A380" s="1" t="s">
        <v>380</v>
      </c>
      <c r="B380" t="str">
        <f>HYPERLINK("https://www.suredividend.com/sure-analysis-CIM/","Chimera Investment Corp")</f>
        <v>Chimera Investment Corp</v>
      </c>
      <c r="C380">
        <v>-0.115384615384615</v>
      </c>
      <c r="D380">
        <v>-0.117991361562991</v>
      </c>
      <c r="E380">
        <v>-0.164292134401713</v>
      </c>
      <c r="F380">
        <v>-0.124248496993988</v>
      </c>
      <c r="G380">
        <v>-0.28756582272289999</v>
      </c>
      <c r="H380">
        <v>-0.5595512865738731</v>
      </c>
      <c r="I380">
        <v>-0.57036396169652104</v>
      </c>
    </row>
    <row r="381" spans="1:9" x14ac:dyDescent="0.2">
      <c r="A381" s="1" t="s">
        <v>381</v>
      </c>
      <c r="B381" t="str">
        <f>HYPERLINK("https://www.suredividend.com/sure-analysis-CIO/","City Office REIT Inc")</f>
        <v>City Office REIT Inc</v>
      </c>
      <c r="C381">
        <v>-0.16606498194945801</v>
      </c>
      <c r="D381">
        <v>2.2598995108345999E-2</v>
      </c>
      <c r="E381">
        <v>-2.7198549410689999E-3</v>
      </c>
      <c r="F381">
        <v>-0.231805257644535</v>
      </c>
      <c r="G381">
        <v>-0.45025523863920303</v>
      </c>
      <c r="H381">
        <v>-0.69540938429182608</v>
      </c>
      <c r="I381">
        <v>-0.46419873356064312</v>
      </c>
    </row>
    <row r="382" spans="1:9" x14ac:dyDescent="0.2">
      <c r="A382" s="1" t="s">
        <v>382</v>
      </c>
      <c r="B382" t="str">
        <f>HYPERLINK("https://www.suredividend.com/sure-analysis-research-database/","Civista Bancshares Inc")</f>
        <v>Civista Bancshares Inc</v>
      </c>
      <c r="C382">
        <v>-8.5958770906262E-2</v>
      </c>
      <c r="D382">
        <v>1.5537527745585001E-2</v>
      </c>
      <c r="E382">
        <v>-8.2948518586404008E-2</v>
      </c>
      <c r="F382">
        <v>-0.141970425363597</v>
      </c>
      <c r="G382">
        <v>-0.233468419491944</v>
      </c>
      <c r="H382">
        <v>-0.28930149012995099</v>
      </c>
      <c r="I382">
        <v>-0.13077591279737699</v>
      </c>
    </row>
    <row r="383" spans="1:9" x14ac:dyDescent="0.2">
      <c r="A383" s="1" t="s">
        <v>383</v>
      </c>
      <c r="B383" t="str">
        <f>HYPERLINK("https://www.suredividend.com/sure-analysis-research-database/","Civitas Resources Inc")</f>
        <v>Civitas Resources Inc</v>
      </c>
      <c r="C383">
        <v>-3.9776258545680003E-2</v>
      </c>
      <c r="D383">
        <v>-9.5258451574367006E-2</v>
      </c>
      <c r="E383">
        <v>-0.20991265571624301</v>
      </c>
      <c r="F383">
        <v>-9.6226966949400014E-2</v>
      </c>
      <c r="G383">
        <v>3.6040113863826002E-2</v>
      </c>
      <c r="H383">
        <v>0.48871897899894412</v>
      </c>
      <c r="I383">
        <v>1.6039472131865899</v>
      </c>
    </row>
    <row r="384" spans="1:9" x14ac:dyDescent="0.2">
      <c r="A384" s="1" t="s">
        <v>384</v>
      </c>
      <c r="B384" t="str">
        <f>HYPERLINK("https://www.suredividend.com/sure-analysis-research-database/","Compx International, Inc.")</f>
        <v>Compx International, Inc.</v>
      </c>
      <c r="C384">
        <v>6.7385444743930014E-3</v>
      </c>
      <c r="D384">
        <v>3.1017951950238001E-2</v>
      </c>
      <c r="E384">
        <v>-9.7026351841405012E-2</v>
      </c>
      <c r="F384">
        <v>-0.113528481012658</v>
      </c>
      <c r="G384">
        <v>0.26326826271019199</v>
      </c>
      <c r="H384">
        <v>0.211043680794609</v>
      </c>
      <c r="I384">
        <v>0.96805100598055605</v>
      </c>
    </row>
    <row r="385" spans="1:9" x14ac:dyDescent="0.2">
      <c r="A385" s="1" t="s">
        <v>385</v>
      </c>
      <c r="B385" t="str">
        <f>HYPERLINK("https://www.suredividend.com/sure-analysis-research-database/","Clarus Corp")</f>
        <v>Clarus Corp</v>
      </c>
      <c r="C385">
        <v>-1.1904761904761E-2</v>
      </c>
      <c r="D385">
        <v>0.11302681992337101</v>
      </c>
      <c r="E385">
        <v>-0.293780160206153</v>
      </c>
      <c r="F385">
        <v>-0.15736040609137</v>
      </c>
      <c r="G385">
        <v>-0.39873122975504199</v>
      </c>
      <c r="H385">
        <v>-0.71990415997763002</v>
      </c>
      <c r="I385">
        <v>-0.47767299272697811</v>
      </c>
    </row>
    <row r="386" spans="1:9" x14ac:dyDescent="0.2">
      <c r="A386" s="1" t="s">
        <v>386</v>
      </c>
      <c r="B386" t="str">
        <f>HYPERLINK("https://www.suredividend.com/sure-analysis-research-database/","Core Laboratories Inc")</f>
        <v>Core Laboratories Inc</v>
      </c>
      <c r="C386">
        <v>-5.1240784965216002E-2</v>
      </c>
      <c r="D386">
        <v>-0.206194075232386</v>
      </c>
      <c r="E386">
        <v>-0.40691579989290411</v>
      </c>
      <c r="F386">
        <v>-0.17158220998294399</v>
      </c>
      <c r="G386">
        <v>-0.38523383820969298</v>
      </c>
      <c r="H386">
        <v>-0.44149657525088698</v>
      </c>
      <c r="I386">
        <v>-0.77252960460293008</v>
      </c>
    </row>
    <row r="387" spans="1:9" x14ac:dyDescent="0.2">
      <c r="A387" s="1" t="s">
        <v>387</v>
      </c>
      <c r="B387" t="str">
        <f>HYPERLINK("https://www.suredividend.com/sure-analysis-research-database/","Columbia Financial, Inc")</f>
        <v>Columbia Financial, Inc</v>
      </c>
      <c r="C387">
        <v>-9.1825902335456011E-2</v>
      </c>
      <c r="D387">
        <v>-3.0045351473922E-2</v>
      </c>
      <c r="E387">
        <v>-1.2124711316397E-2</v>
      </c>
      <c r="F387">
        <v>-0.112551867219917</v>
      </c>
      <c r="G387">
        <v>-0.17382906808305101</v>
      </c>
      <c r="H387">
        <v>-0.20492565055761999</v>
      </c>
      <c r="I387">
        <v>7.4748743718592012E-2</v>
      </c>
    </row>
    <row r="388" spans="1:9" x14ac:dyDescent="0.2">
      <c r="A388" s="1" t="s">
        <v>388</v>
      </c>
      <c r="B388" t="str">
        <f>HYPERLINK("https://www.suredividend.com/sure-analysis-research-database/","Chatham Lodging Trust")</f>
        <v>Chatham Lodging Trust</v>
      </c>
      <c r="C388">
        <v>-2.5399811853245E-2</v>
      </c>
      <c r="D388">
        <v>2.8247017488139001E-2</v>
      </c>
      <c r="E388">
        <v>0.13667533436467899</v>
      </c>
      <c r="F388">
        <v>-3.3582089552238001E-2</v>
      </c>
      <c r="G388">
        <v>-0.20178135281110099</v>
      </c>
      <c r="H388">
        <v>-0.25825159304073803</v>
      </c>
      <c r="I388">
        <v>-0.45471675272246798</v>
      </c>
    </row>
    <row r="389" spans="1:9" x14ac:dyDescent="0.2">
      <c r="A389" s="1" t="s">
        <v>389</v>
      </c>
      <c r="B389" t="str">
        <f>HYPERLINK("https://www.suredividend.com/sure-analysis-research-database/","Celldex Therapeutics Inc.")</f>
        <v>Celldex Therapeutics Inc.</v>
      </c>
      <c r="C389">
        <v>-3.7259314828707001E-2</v>
      </c>
      <c r="D389">
        <v>0.41388174807197903</v>
      </c>
      <c r="E389">
        <v>0.27525670751904602</v>
      </c>
      <c r="F389">
        <v>-2.9248613212304E-2</v>
      </c>
      <c r="G389">
        <v>-0.105067410506741</v>
      </c>
      <c r="H389">
        <v>0.294988227379751</v>
      </c>
      <c r="I389">
        <v>5.8021201413427574</v>
      </c>
    </row>
    <row r="390" spans="1:9" x14ac:dyDescent="0.2">
      <c r="A390" s="1" t="s">
        <v>390</v>
      </c>
      <c r="B390" t="str">
        <f>HYPERLINK("https://www.suredividend.com/sure-analysis-research-database/","Clearfield Inc")</f>
        <v>Clearfield Inc</v>
      </c>
      <c r="C390">
        <v>0.186413902053712</v>
      </c>
      <c r="D390">
        <v>9.1173265528514014E-2</v>
      </c>
      <c r="E390">
        <v>-0.21892875715028601</v>
      </c>
      <c r="F390">
        <v>3.3012379642365003E-2</v>
      </c>
      <c r="G390">
        <v>-0.51082885523530308</v>
      </c>
      <c r="H390">
        <v>-0.51430881164106701</v>
      </c>
      <c r="I390">
        <v>1.14418272662384</v>
      </c>
    </row>
    <row r="391" spans="1:9" x14ac:dyDescent="0.2">
      <c r="A391" s="1" t="s">
        <v>391</v>
      </c>
      <c r="B391" t="str">
        <f>HYPERLINK("https://www.suredividend.com/sure-analysis-research-database/","Climb Global Solutions Inc")</f>
        <v>Climb Global Solutions Inc</v>
      </c>
      <c r="C391">
        <v>0.14399544678429099</v>
      </c>
      <c r="D391">
        <v>0.24974093264248701</v>
      </c>
      <c r="E391">
        <v>0.42591620436713401</v>
      </c>
      <c r="F391">
        <v>9.9762903519970011E-2</v>
      </c>
      <c r="G391">
        <v>0.54415436422068808</v>
      </c>
      <c r="H391">
        <v>1.0146673126075409</v>
      </c>
      <c r="I391">
        <v>5.4173513260397597</v>
      </c>
    </row>
    <row r="392" spans="1:9" x14ac:dyDescent="0.2">
      <c r="A392" s="1" t="s">
        <v>392</v>
      </c>
      <c r="B392" t="str">
        <f>HYPERLINK("https://www.suredividend.com/sure-analysis-research-database/","Clean Energy Fuels Corp")</f>
        <v>Clean Energy Fuels Corp</v>
      </c>
      <c r="C392">
        <v>-7.9744816586920005E-3</v>
      </c>
      <c r="D392">
        <v>-0.15027322404371499</v>
      </c>
      <c r="E392">
        <v>-0.245145631067961</v>
      </c>
      <c r="F392">
        <v>-0.18798955613577001</v>
      </c>
      <c r="G392">
        <v>-0.45342706502636199</v>
      </c>
      <c r="H392">
        <v>-0.49348534201954403</v>
      </c>
      <c r="I392">
        <v>0.38839285714285698</v>
      </c>
    </row>
    <row r="393" spans="1:9" x14ac:dyDescent="0.2">
      <c r="A393" s="1" t="s">
        <v>393</v>
      </c>
      <c r="B393" t="str">
        <f>HYPERLINK("https://www.suredividend.com/sure-analysis-CLPR/","Clipper Realty Inc")</f>
        <v>Clipper Realty Inc</v>
      </c>
      <c r="C393">
        <v>-2.1782178217821E-2</v>
      </c>
      <c r="D393">
        <v>9.2920353982301002E-2</v>
      </c>
      <c r="E393">
        <v>-0.174313460027745</v>
      </c>
      <c r="F393">
        <v>-8.5185185185185003E-2</v>
      </c>
      <c r="G393">
        <v>-0.21886118182824399</v>
      </c>
      <c r="H393">
        <v>-0.42092862417798799</v>
      </c>
      <c r="I393">
        <v>-0.49818167042522499</v>
      </c>
    </row>
    <row r="394" spans="1:9" x14ac:dyDescent="0.2">
      <c r="A394" s="1" t="s">
        <v>394</v>
      </c>
      <c r="B394" t="str">
        <f>HYPERLINK("https://www.suredividend.com/sure-analysis-research-database/","ClearPoint Neuro Inc")</f>
        <v>ClearPoint Neuro Inc</v>
      </c>
      <c r="C394">
        <v>-4.7936085219706007E-2</v>
      </c>
      <c r="D394">
        <v>0.22746781115879799</v>
      </c>
      <c r="E394">
        <v>0.33895131086142299</v>
      </c>
      <c r="F394">
        <v>5.3019145802650013E-2</v>
      </c>
      <c r="G394">
        <v>-0.226190476190476</v>
      </c>
      <c r="H394">
        <v>-0.123774509803921</v>
      </c>
      <c r="I394">
        <v>5.2173913043478271</v>
      </c>
    </row>
    <row r="395" spans="1:9" x14ac:dyDescent="0.2">
      <c r="A395" s="1" t="s">
        <v>395</v>
      </c>
      <c r="B395" t="str">
        <f>HYPERLINK("https://www.suredividend.com/sure-analysis-research-database/","Cleanspark Inc")</f>
        <v>Cleanspark Inc</v>
      </c>
      <c r="C395">
        <v>1.410480349344978</v>
      </c>
      <c r="D395">
        <v>2.6078431372549011</v>
      </c>
      <c r="E395">
        <v>2.184615384615384</v>
      </c>
      <c r="F395">
        <v>0.50135992747053404</v>
      </c>
      <c r="G395">
        <v>3.8994082840236688</v>
      </c>
      <c r="H395">
        <v>0.8544232922732361</v>
      </c>
      <c r="I395">
        <v>2.2470588235294122</v>
      </c>
    </row>
    <row r="396" spans="1:9" x14ac:dyDescent="0.2">
      <c r="A396" s="1" t="s">
        <v>396</v>
      </c>
      <c r="B396" t="str">
        <f>HYPERLINK("https://www.suredividend.com/sure-analysis-research-database/","Clearwater Paper Corp")</f>
        <v>Clearwater Paper Corp</v>
      </c>
      <c r="C396">
        <v>1.9648093841642001E-2</v>
      </c>
      <c r="D396">
        <v>-2.5504484304932001E-2</v>
      </c>
      <c r="E396">
        <v>-4.7658175842234002E-2</v>
      </c>
      <c r="F396">
        <v>-3.7375415282391002E-2</v>
      </c>
      <c r="G396">
        <v>-5.3362374081132001E-2</v>
      </c>
      <c r="H396">
        <v>0.17031302591719899</v>
      </c>
      <c r="I396">
        <v>-5.4347826086950006E-3</v>
      </c>
    </row>
    <row r="397" spans="1:9" x14ac:dyDescent="0.2">
      <c r="A397" s="1" t="s">
        <v>397</v>
      </c>
      <c r="B397" t="str">
        <f>HYPERLINK("https://www.suredividend.com/sure-analysis-research-database/","CareMax Inc")</f>
        <v>CareMax Inc</v>
      </c>
      <c r="C397">
        <v>-0.57105263157894703</v>
      </c>
      <c r="D397">
        <v>-0.8302083333333331</v>
      </c>
      <c r="E397">
        <v>-0.91597938144329805</v>
      </c>
      <c r="F397">
        <v>-0.67282215977519</v>
      </c>
      <c r="G397">
        <v>-0.96409691629955907</v>
      </c>
      <c r="H397">
        <v>-0.9727424749163881</v>
      </c>
      <c r="I397">
        <v>-0.50606060606060599</v>
      </c>
    </row>
    <row r="398" spans="1:9" x14ac:dyDescent="0.2">
      <c r="A398" s="1" t="s">
        <v>398</v>
      </c>
      <c r="B398" t="str">
        <f>HYPERLINK("https://www.suredividend.com/sure-analysis-research-database/","Cambium Networks Corp")</f>
        <v>Cambium Networks Corp</v>
      </c>
      <c r="C398">
        <v>-7.0754716981130004E-3</v>
      </c>
      <c r="D398">
        <v>0</v>
      </c>
      <c r="E398">
        <v>-0.53787047200878102</v>
      </c>
      <c r="F398">
        <v>-0.29833333333333301</v>
      </c>
      <c r="G398">
        <v>-0.81205357142857104</v>
      </c>
      <c r="H398">
        <v>-0.84964285714285703</v>
      </c>
      <c r="I398">
        <v>-0.56597938144329907</v>
      </c>
    </row>
    <row r="399" spans="1:9" x14ac:dyDescent="0.2">
      <c r="A399" s="1" t="s">
        <v>399</v>
      </c>
      <c r="B399" t="str">
        <f>HYPERLINK("https://www.suredividend.com/sure-analysis-research-database/","Commercial Metals Co.")</f>
        <v>Commercial Metals Co.</v>
      </c>
      <c r="C399">
        <v>9.8797595190380005E-2</v>
      </c>
      <c r="D399">
        <v>0.23389000533342899</v>
      </c>
      <c r="E399">
        <v>-1.3641359782544001E-2</v>
      </c>
      <c r="F399">
        <v>9.9258005858164008E-2</v>
      </c>
      <c r="G399">
        <v>-2.6279617402299001E-2</v>
      </c>
      <c r="H399">
        <v>0.533148785057182</v>
      </c>
      <c r="I399">
        <v>2.5923475070431761</v>
      </c>
    </row>
    <row r="400" spans="1:9" x14ac:dyDescent="0.2">
      <c r="A400" s="1" t="s">
        <v>400</v>
      </c>
      <c r="B400" t="str">
        <f>HYPERLINK("https://www.suredividend.com/sure-analysis-research-database/","Caledonia Mining Corporation Plc")</f>
        <v>Caledonia Mining Corporation Plc</v>
      </c>
      <c r="C400">
        <v>-8.6635944700460002E-2</v>
      </c>
      <c r="D400">
        <v>-0.12099413700428401</v>
      </c>
      <c r="E400">
        <v>4.795846979021E-3</v>
      </c>
      <c r="F400">
        <v>-0.167821304110509</v>
      </c>
      <c r="G400">
        <v>-0.14621958784202899</v>
      </c>
      <c r="H400">
        <v>-9.8205510865213008E-2</v>
      </c>
      <c r="I400">
        <v>1.2775326346754909</v>
      </c>
    </row>
    <row r="401" spans="1:9" x14ac:dyDescent="0.2">
      <c r="A401" s="1" t="s">
        <v>401</v>
      </c>
      <c r="B401" t="str">
        <f>HYPERLINK("https://www.suredividend.com/sure-analysis-research-database/","Columbus Mckinnon Corp.")</f>
        <v>Columbus Mckinnon Corp.</v>
      </c>
      <c r="C401">
        <v>0.12931105440776999</v>
      </c>
      <c r="D401">
        <v>0.16630632826025901</v>
      </c>
      <c r="E401">
        <v>0.115413903650568</v>
      </c>
      <c r="F401">
        <v>5.8402419205529008E-2</v>
      </c>
      <c r="G401">
        <v>9.5519972745081005E-2</v>
      </c>
      <c r="H401">
        <v>-4.7581583800556007E-2</v>
      </c>
      <c r="I401">
        <v>0.12160228898426299</v>
      </c>
    </row>
    <row r="402" spans="1:9" x14ac:dyDescent="0.2">
      <c r="A402" s="1" t="s">
        <v>402</v>
      </c>
      <c r="B402" t="str">
        <f>HYPERLINK("https://www.suredividend.com/sure-analysis-CMP/","Compass Minerals International Inc")</f>
        <v>Compass Minerals International Inc</v>
      </c>
      <c r="C402">
        <v>6.7580340264649999E-2</v>
      </c>
      <c r="D402">
        <v>-0.10233892566778199</v>
      </c>
      <c r="E402">
        <v>-0.23866849556985201</v>
      </c>
      <c r="F402">
        <v>-0.10781990521327001</v>
      </c>
      <c r="G402">
        <v>-0.43512572766008512</v>
      </c>
      <c r="H402">
        <v>-0.57484849625475209</v>
      </c>
      <c r="I402">
        <v>-0.50903578453212706</v>
      </c>
    </row>
    <row r="403" spans="1:9" x14ac:dyDescent="0.2">
      <c r="A403" s="1" t="s">
        <v>403</v>
      </c>
      <c r="B403" t="str">
        <f>HYPERLINK("https://www.suredividend.com/sure-analysis-research-database/","CompoSecure Inc")</f>
        <v>CompoSecure Inc</v>
      </c>
      <c r="C403">
        <v>-5.5984555984555012E-2</v>
      </c>
      <c r="D403">
        <v>-8.4269662921348007E-2</v>
      </c>
      <c r="E403">
        <v>-0.248847926267281</v>
      </c>
      <c r="F403">
        <v>-9.4444444444444012E-2</v>
      </c>
      <c r="G403">
        <v>-0.287172011661807</v>
      </c>
      <c r="H403">
        <v>-0.26796407185628701</v>
      </c>
      <c r="I403">
        <v>-0.50455927051671701</v>
      </c>
    </row>
    <row r="404" spans="1:9" x14ac:dyDescent="0.2">
      <c r="A404" s="1" t="s">
        <v>404</v>
      </c>
      <c r="B404" t="str">
        <f>HYPERLINK("https://www.suredividend.com/sure-analysis-research-database/","Cimpress plc")</f>
        <v>Cimpress plc</v>
      </c>
      <c r="C404">
        <v>0.20635355333424599</v>
      </c>
      <c r="D404">
        <v>0.213833011848994</v>
      </c>
      <c r="E404">
        <v>0.35081263416129999</v>
      </c>
      <c r="F404">
        <v>0.100562148657089</v>
      </c>
      <c r="G404">
        <v>1.3276089828269479</v>
      </c>
      <c r="H404">
        <v>0.34073961345305098</v>
      </c>
      <c r="I404">
        <v>7.0734078755468999E-2</v>
      </c>
    </row>
    <row r="405" spans="1:9" x14ac:dyDescent="0.2">
      <c r="A405" s="1" t="s">
        <v>405</v>
      </c>
      <c r="B405" t="str">
        <f>HYPERLINK("https://www.suredividend.com/sure-analysis-research-database/","Compass Therapeutics Inc")</f>
        <v>Compass Therapeutics Inc</v>
      </c>
      <c r="C405">
        <v>0.33093525179856098</v>
      </c>
      <c r="D405">
        <v>9.4674556213017014E-2</v>
      </c>
      <c r="E405">
        <v>-0.222689075630252</v>
      </c>
      <c r="F405">
        <v>0.18589743589743499</v>
      </c>
      <c r="G405">
        <v>-0.531645569620253</v>
      </c>
      <c r="H405">
        <v>-0.22916666666666599</v>
      </c>
      <c r="I405">
        <v>-0.53517587939698508</v>
      </c>
    </row>
    <row r="406" spans="1:9" x14ac:dyDescent="0.2">
      <c r="A406" s="1" t="s">
        <v>406</v>
      </c>
      <c r="B406" t="str">
        <f>HYPERLINK("https://www.suredividend.com/sure-analysis-research-database/","Costamare Inc")</f>
        <v>Costamare Inc</v>
      </c>
      <c r="C406">
        <v>-9.1157702825890013E-3</v>
      </c>
      <c r="D406">
        <v>0.16101468624833101</v>
      </c>
      <c r="E406">
        <v>3.5435321013526012E-2</v>
      </c>
      <c r="F406">
        <v>5.5063235850796012E-2</v>
      </c>
      <c r="G406">
        <v>0.123282008887051</v>
      </c>
      <c r="H406">
        <v>-0.14921926975306199</v>
      </c>
      <c r="I406">
        <v>1.6347044137964459</v>
      </c>
    </row>
    <row r="407" spans="1:9" x14ac:dyDescent="0.2">
      <c r="A407" s="1" t="s">
        <v>407</v>
      </c>
      <c r="B407" t="str">
        <f>HYPERLINK("https://www.suredividend.com/sure-analysis-research-database/","Core Molding Technologies")</f>
        <v>Core Molding Technologies</v>
      </c>
      <c r="C407">
        <v>-4.0885860306643013E-2</v>
      </c>
      <c r="D407">
        <v>-6.6850828729281012E-2</v>
      </c>
      <c r="E407">
        <v>-0.38959161546801502</v>
      </c>
      <c r="F407">
        <v>-8.8505126821370003E-2</v>
      </c>
      <c r="G407">
        <v>2.6747720364741E-2</v>
      </c>
      <c r="H407">
        <v>1.0155131264916459</v>
      </c>
      <c r="I407">
        <v>1.0826140567200979</v>
      </c>
    </row>
    <row r="408" spans="1:9" x14ac:dyDescent="0.2">
      <c r="A408" s="1" t="s">
        <v>408</v>
      </c>
      <c r="B408" t="str">
        <f>HYPERLINK("https://www.suredividend.com/sure-analysis-research-database/","Claros Mortgage Trust Inc")</f>
        <v>Claros Mortgage Trust Inc</v>
      </c>
      <c r="C408">
        <v>-0.21371610845295</v>
      </c>
      <c r="D408">
        <v>-0.14098777693560899</v>
      </c>
      <c r="E408">
        <v>-3.0767718470460999E-2</v>
      </c>
      <c r="F408">
        <v>-0.27659574468085102</v>
      </c>
      <c r="G408">
        <v>-0.26322789870504398</v>
      </c>
      <c r="H408">
        <v>-0.28007126272287802</v>
      </c>
      <c r="I408">
        <v>-0.27603271803456803</v>
      </c>
    </row>
    <row r="409" spans="1:9" x14ac:dyDescent="0.2">
      <c r="A409" s="1" t="s">
        <v>409</v>
      </c>
      <c r="B409" t="str">
        <f>HYPERLINK("https://www.suredividend.com/sure-analysis-research-database/","Comtech Telecommunications Corp.")</f>
        <v>Comtech Telecommunications Corp.</v>
      </c>
      <c r="C409">
        <v>7.2808320950965011E-2</v>
      </c>
      <c r="D409">
        <v>-0.41348497156783098</v>
      </c>
      <c r="E409">
        <v>-0.215217391304347</v>
      </c>
      <c r="F409">
        <v>-0.14353499406880099</v>
      </c>
      <c r="G409">
        <v>-0.55155279503105503</v>
      </c>
      <c r="H409">
        <v>-0.63816415920777003</v>
      </c>
      <c r="I409">
        <v>-0.71066762843632203</v>
      </c>
    </row>
    <row r="410" spans="1:9" x14ac:dyDescent="0.2">
      <c r="A410" s="1" t="s">
        <v>410</v>
      </c>
      <c r="B410" t="str">
        <f>HYPERLINK("https://www.suredividend.com/sure-analysis-research-database/","Conduent Inc")</f>
        <v>Conduent Inc</v>
      </c>
      <c r="C410">
        <v>-5.5865921787700001E-3</v>
      </c>
      <c r="D410">
        <v>0.21917808219178</v>
      </c>
      <c r="E410">
        <v>0.115987460815047</v>
      </c>
      <c r="F410">
        <v>-2.4657534246574998E-2</v>
      </c>
      <c r="G410">
        <v>-0.160377358490566</v>
      </c>
      <c r="H410">
        <v>-0.255230125523012</v>
      </c>
      <c r="I410">
        <v>-0.76716808371484602</v>
      </c>
    </row>
    <row r="411" spans="1:9" x14ac:dyDescent="0.2">
      <c r="A411" s="1" t="s">
        <v>411</v>
      </c>
      <c r="B411" t="str">
        <f>HYPERLINK("https://www.suredividend.com/sure-analysis-research-database/","Cinemark Holdings Inc")</f>
        <v>Cinemark Holdings Inc</v>
      </c>
      <c r="C411">
        <v>0.15298245614035</v>
      </c>
      <c r="D411">
        <v>0.16031073446327601</v>
      </c>
      <c r="E411">
        <v>-8.5189309576837013E-2</v>
      </c>
      <c r="F411">
        <v>0.16607523066004201</v>
      </c>
      <c r="G411">
        <v>0.40667808219177998</v>
      </c>
      <c r="H411">
        <v>-6.1679040548258013E-2</v>
      </c>
      <c r="I411">
        <v>-0.53436436342818905</v>
      </c>
    </row>
    <row r="412" spans="1:9" x14ac:dyDescent="0.2">
      <c r="A412" s="1" t="s">
        <v>412</v>
      </c>
      <c r="B412" t="str">
        <f>HYPERLINK("https://www.suredividend.com/sure-analysis-research-database/","Conmed Corp.")</f>
        <v>Conmed Corp.</v>
      </c>
      <c r="C412">
        <v>-0.20149327045878701</v>
      </c>
      <c r="D412">
        <v>-0.25157157997769802</v>
      </c>
      <c r="E412">
        <v>-0.222740947437474</v>
      </c>
      <c r="F412">
        <v>-0.25778467719842901</v>
      </c>
      <c r="G412">
        <v>-0.16858375894657199</v>
      </c>
      <c r="H412">
        <v>-0.40804441997383911</v>
      </c>
      <c r="I412">
        <v>0.14757847951498901</v>
      </c>
    </row>
    <row r="413" spans="1:9" x14ac:dyDescent="0.2">
      <c r="A413" s="1" t="s">
        <v>413</v>
      </c>
      <c r="B413" t="str">
        <f>HYPERLINK("https://www.suredividend.com/sure-analysis-research-database/","Cannae Holdings Inc")</f>
        <v>Cannae Holdings Inc</v>
      </c>
      <c r="C413">
        <v>3.2421479229989003E-2</v>
      </c>
      <c r="D413">
        <v>0.127212389380531</v>
      </c>
      <c r="E413">
        <v>8.751334044823901E-2</v>
      </c>
      <c r="F413">
        <v>4.4592516658123013E-2</v>
      </c>
      <c r="G413">
        <v>-0.11391304347826001</v>
      </c>
      <c r="H413">
        <v>-0.24518518518518501</v>
      </c>
      <c r="I413">
        <v>-8.4867534800179001E-2</v>
      </c>
    </row>
    <row r="414" spans="1:9" x14ac:dyDescent="0.2">
      <c r="A414" s="1" t="s">
        <v>414</v>
      </c>
      <c r="B414" t="str">
        <f>HYPERLINK("https://www.suredividend.com/sure-analysis-research-database/","CNO Financial Group Inc")</f>
        <v>CNO Financial Group Inc</v>
      </c>
      <c r="C414">
        <v>-2.2279035792549001E-2</v>
      </c>
      <c r="D414">
        <v>5.2461903788391002E-2</v>
      </c>
      <c r="E414">
        <v>0.16139332491680999</v>
      </c>
      <c r="F414">
        <v>-4.0501792114695012E-2</v>
      </c>
      <c r="G414">
        <v>7.9191795401038004E-2</v>
      </c>
      <c r="H414">
        <v>0.130523284049781</v>
      </c>
      <c r="I414">
        <v>0.75249093313432003</v>
      </c>
    </row>
    <row r="415" spans="1:9" x14ac:dyDescent="0.2">
      <c r="A415" s="1" t="s">
        <v>415</v>
      </c>
      <c r="B415" t="str">
        <f>HYPERLINK("https://www.suredividend.com/sure-analysis-research-database/","ConnectOne Bancorp Inc.")</f>
        <v>ConnectOne Bancorp Inc.</v>
      </c>
      <c r="C415">
        <v>-9.4691133833865002E-2</v>
      </c>
      <c r="D415">
        <v>6.2449521923768007E-2</v>
      </c>
      <c r="E415">
        <v>8.669583708622601E-2</v>
      </c>
      <c r="F415">
        <v>-9.4297047470561002E-2</v>
      </c>
      <c r="G415">
        <v>-0.106962973344662</v>
      </c>
      <c r="H415">
        <v>-0.33616361825012803</v>
      </c>
      <c r="I415">
        <v>8.5192104016647008E-2</v>
      </c>
    </row>
    <row r="416" spans="1:9" x14ac:dyDescent="0.2">
      <c r="A416" s="1" t="s">
        <v>416</v>
      </c>
      <c r="B416" t="str">
        <f>HYPERLINK("https://www.suredividend.com/sure-analysis-CNS/","Cohen &amp; Steers Inc.")</f>
        <v>Cohen &amp; Steers Inc.</v>
      </c>
      <c r="C416">
        <v>6.0071195490952002E-2</v>
      </c>
      <c r="D416">
        <v>0.23543647363872</v>
      </c>
      <c r="E416">
        <v>0.13701988472301499</v>
      </c>
      <c r="F416">
        <v>-5.6252475901228012E-2</v>
      </c>
      <c r="G416">
        <v>4.5634359593100003E-4</v>
      </c>
      <c r="H416">
        <v>-3.2180309398968002E-2</v>
      </c>
      <c r="I416">
        <v>1.0761436655395591</v>
      </c>
    </row>
    <row r="417" spans="1:9" x14ac:dyDescent="0.2">
      <c r="A417" s="1" t="s">
        <v>417</v>
      </c>
      <c r="B417" t="str">
        <f>HYPERLINK("https://www.suredividend.com/sure-analysis-research-database/","Consolidated Communications Holdings Inc")</f>
        <v>Consolidated Communications Holdings Inc</v>
      </c>
      <c r="C417">
        <v>-2.9082774049217001E-2</v>
      </c>
      <c r="D417">
        <v>3.3333333333333E-2</v>
      </c>
      <c r="E417">
        <v>7.160493827160401E-2</v>
      </c>
      <c r="F417">
        <v>-2.2988505747120001E-3</v>
      </c>
      <c r="G417">
        <v>-2.2522522522522001E-2</v>
      </c>
      <c r="H417">
        <v>-0.39805825242718401</v>
      </c>
      <c r="I417">
        <v>-0.56495589414595004</v>
      </c>
    </row>
    <row r="418" spans="1:9" x14ac:dyDescent="0.2">
      <c r="A418" s="1" t="s">
        <v>418</v>
      </c>
      <c r="B418" t="str">
        <f>HYPERLINK("https://www.suredividend.com/sure-analysis-research-database/","Century Casinos Inc.")</f>
        <v>Century Casinos Inc.</v>
      </c>
      <c r="C418">
        <v>-0.22316384180790899</v>
      </c>
      <c r="D418">
        <v>-0.39956331877729201</v>
      </c>
      <c r="E418">
        <v>-0.58079268292682906</v>
      </c>
      <c r="F418">
        <v>-0.43647540983606498</v>
      </c>
      <c r="G418">
        <v>-0.72194135490394307</v>
      </c>
      <c r="H418">
        <v>-0.74839890210430005</v>
      </c>
      <c r="I418">
        <v>-0.68244803695150102</v>
      </c>
    </row>
    <row r="419" spans="1:9" x14ac:dyDescent="0.2">
      <c r="A419" s="1" t="s">
        <v>419</v>
      </c>
      <c r="B419" t="str">
        <f>HYPERLINK("https://www.suredividend.com/sure-analysis-research-database/","CNX Resources Corp")</f>
        <v>CNX Resources Corp</v>
      </c>
      <c r="C419">
        <v>-6.5623422513880003E-3</v>
      </c>
      <c r="D419">
        <v>-8.1661222585160009E-2</v>
      </c>
      <c r="E419">
        <v>-0.12299465240641699</v>
      </c>
      <c r="F419">
        <v>-1.6E-2</v>
      </c>
      <c r="G419">
        <v>0.25270528325906999</v>
      </c>
      <c r="H419">
        <v>0.241640378548895</v>
      </c>
      <c r="I419">
        <v>0.87607244995233502</v>
      </c>
    </row>
    <row r="420" spans="1:9" x14ac:dyDescent="0.2">
      <c r="A420" s="1" t="s">
        <v>420</v>
      </c>
      <c r="B420" t="str">
        <f>HYPERLINK("https://www.suredividend.com/sure-analysis-research-database/","PC Connection, Inc.")</f>
        <v>PC Connection, Inc.</v>
      </c>
      <c r="C420">
        <v>3.6807918342097012E-2</v>
      </c>
      <c r="D420">
        <v>9.9196589604853003E-2</v>
      </c>
      <c r="E420">
        <v>0.28361495380786</v>
      </c>
      <c r="F420">
        <v>-2.529385508108E-3</v>
      </c>
      <c r="G420">
        <v>0.55779092977160605</v>
      </c>
      <c r="H420">
        <v>0.38900687251759503</v>
      </c>
      <c r="I420">
        <v>0.6771446512244601</v>
      </c>
    </row>
    <row r="421" spans="1:9" x14ac:dyDescent="0.2">
      <c r="A421" s="1" t="s">
        <v>421</v>
      </c>
      <c r="B421" t="str">
        <f>HYPERLINK("https://www.suredividend.com/sure-analysis-research-database/","Vita Coco Company Inc (The)")</f>
        <v>Vita Coco Company Inc (The)</v>
      </c>
      <c r="C421">
        <v>-4.4275491949909998E-2</v>
      </c>
      <c r="D421">
        <v>-0.26639203570202502</v>
      </c>
      <c r="E421">
        <v>-0.22064186725018201</v>
      </c>
      <c r="F421">
        <v>-0.16686159844054499</v>
      </c>
      <c r="G421">
        <v>0.26449704142011798</v>
      </c>
      <c r="H421">
        <v>0.9480401093892431</v>
      </c>
      <c r="I421">
        <v>0.58062130177514804</v>
      </c>
    </row>
    <row r="422" spans="1:9" x14ac:dyDescent="0.2">
      <c r="A422" s="1" t="s">
        <v>422</v>
      </c>
      <c r="B422" t="str">
        <f>HYPERLINK("https://www.suredividend.com/sure-analysis-CODI/","Compass Diversified Holdings")</f>
        <v>Compass Diversified Holdings</v>
      </c>
      <c r="C422">
        <v>5.5632823365784997E-2</v>
      </c>
      <c r="D422">
        <v>0.13034456397094901</v>
      </c>
      <c r="E422">
        <v>0.106043163370881</v>
      </c>
      <c r="F422">
        <v>2.6119402985074001E-2</v>
      </c>
      <c r="G422">
        <v>8.9181846012551011E-2</v>
      </c>
      <c r="H422">
        <v>8.6754198823040002E-2</v>
      </c>
      <c r="I422">
        <v>0.95941759603469612</v>
      </c>
    </row>
    <row r="423" spans="1:9" x14ac:dyDescent="0.2">
      <c r="A423" s="1" t="s">
        <v>423</v>
      </c>
      <c r="B423" t="str">
        <f>HYPERLINK("https://www.suredividend.com/sure-analysis-research-database/","Choiceone Financial Services, Inc.")</f>
        <v>Choiceone Financial Services, Inc.</v>
      </c>
      <c r="C423">
        <v>-2.8294862248695998E-2</v>
      </c>
      <c r="D423">
        <v>5.2988308198784001E-2</v>
      </c>
      <c r="E423">
        <v>0.118314216301679</v>
      </c>
      <c r="F423">
        <v>-0.109215017064846</v>
      </c>
      <c r="G423">
        <v>-1.1266261071166E-2</v>
      </c>
      <c r="H423">
        <v>0.152831947137575</v>
      </c>
      <c r="I423">
        <v>0.70477926047851303</v>
      </c>
    </row>
    <row r="424" spans="1:9" x14ac:dyDescent="0.2">
      <c r="A424" s="1" t="s">
        <v>424</v>
      </c>
      <c r="B424" t="str">
        <f>HYPERLINK("https://www.suredividend.com/sure-analysis-research-database/","Cogent Biosciences Inc")</f>
        <v>Cogent Biosciences Inc</v>
      </c>
      <c r="C424">
        <v>0.87145969498910603</v>
      </c>
      <c r="D424">
        <v>0.140770252324037</v>
      </c>
      <c r="E424">
        <v>-0.26455479452054798</v>
      </c>
      <c r="F424">
        <v>0.46088435374149611</v>
      </c>
      <c r="G424">
        <v>-0.37023460410557102</v>
      </c>
      <c r="H424">
        <v>0.41749174917491699</v>
      </c>
      <c r="I424">
        <v>1.07487922705314</v>
      </c>
    </row>
    <row r="425" spans="1:9" x14ac:dyDescent="0.2">
      <c r="A425" s="1" t="s">
        <v>425</v>
      </c>
      <c r="B425" t="str">
        <f>HYPERLINK("https://www.suredividend.com/sure-analysis-research-database/","Cohu, Inc.")</f>
        <v>Cohu, Inc.</v>
      </c>
      <c r="C425">
        <v>-8.0246913580247006E-2</v>
      </c>
      <c r="D425">
        <v>-5.5538786598249013E-2</v>
      </c>
      <c r="E425">
        <v>-0.115351993214588</v>
      </c>
      <c r="F425">
        <v>-0.11585193557502101</v>
      </c>
      <c r="G425">
        <v>-0.115351993214588</v>
      </c>
      <c r="H425">
        <v>-1.9429645879034001E-2</v>
      </c>
      <c r="I425">
        <v>0.6909217658216561</v>
      </c>
    </row>
    <row r="426" spans="1:9" x14ac:dyDescent="0.2">
      <c r="A426" s="1" t="s">
        <v>426</v>
      </c>
      <c r="B426" t="str">
        <f>HYPERLINK("https://www.suredividend.com/sure-analysis-research-database/","Coca-Cola Consolidated Inc")</f>
        <v>Coca-Cola Consolidated Inc</v>
      </c>
      <c r="C426">
        <v>-6.9812965074990008E-3</v>
      </c>
      <c r="D426">
        <v>0.19024733415588799</v>
      </c>
      <c r="E426">
        <v>0.22717882668693901</v>
      </c>
      <c r="F426">
        <v>-8.1596767983040011E-2</v>
      </c>
      <c r="G426">
        <v>0.61400586697220305</v>
      </c>
      <c r="H426">
        <v>0.49226651747628902</v>
      </c>
      <c r="I426">
        <v>2.8512875456450342</v>
      </c>
    </row>
    <row r="427" spans="1:9" x14ac:dyDescent="0.2">
      <c r="A427" s="1" t="s">
        <v>427</v>
      </c>
      <c r="B427" t="str">
        <f>HYPERLINK("https://www.suredividend.com/sure-analysis-research-database/","Collegium Pharmaceutical Inc")</f>
        <v>Collegium Pharmaceutical Inc</v>
      </c>
      <c r="C427">
        <v>-2.7584116398907999E-2</v>
      </c>
      <c r="D427">
        <v>0.253614693239546</v>
      </c>
      <c r="E427">
        <v>0.342821264127249</v>
      </c>
      <c r="F427">
        <v>4.2235217673814003E-2</v>
      </c>
      <c r="G427">
        <v>0.180714022819285</v>
      </c>
      <c r="H427">
        <v>0.47494252873563197</v>
      </c>
      <c r="I427">
        <v>1.1415220293724959</v>
      </c>
    </row>
    <row r="428" spans="1:9" x14ac:dyDescent="0.2">
      <c r="A428" s="1" t="s">
        <v>428</v>
      </c>
      <c r="B428" t="str">
        <f>HYPERLINK("https://www.suredividend.com/sure-analysis-research-database/","CommScope Holding Company Inc")</f>
        <v>CommScope Holding Company Inc</v>
      </c>
      <c r="C428">
        <v>-0.126050420168067</v>
      </c>
      <c r="D428">
        <v>8.9005235602094002E-2</v>
      </c>
      <c r="E428">
        <v>-0.44235924932975801</v>
      </c>
      <c r="F428">
        <v>-0.26241134751772999</v>
      </c>
      <c r="G428">
        <v>-0.740324594257178</v>
      </c>
      <c r="H428">
        <v>-0.79903381642512006</v>
      </c>
      <c r="I428">
        <v>-0.91131954807077409</v>
      </c>
    </row>
    <row r="429" spans="1:9" x14ac:dyDescent="0.2">
      <c r="A429" s="1" t="s">
        <v>429</v>
      </c>
      <c r="B429" t="str">
        <f>HYPERLINK("https://www.suredividend.com/sure-analysis-research-database/","Compass Inc")</f>
        <v>Compass Inc</v>
      </c>
      <c r="C429">
        <v>0.123076923076923</v>
      </c>
      <c r="D429">
        <v>0.6743119266055041</v>
      </c>
      <c r="E429">
        <v>0.18506493506493399</v>
      </c>
      <c r="F429">
        <v>-2.9255319148936001E-2</v>
      </c>
      <c r="G429">
        <v>-5.9278350515463013E-2</v>
      </c>
      <c r="H429">
        <v>-0.56024096385542099</v>
      </c>
      <c r="I429">
        <v>-0.81885856079404407</v>
      </c>
    </row>
    <row r="430" spans="1:9" x14ac:dyDescent="0.2">
      <c r="A430" s="1" t="s">
        <v>430</v>
      </c>
      <c r="B430" t="str">
        <f>HYPERLINK("https://www.suredividend.com/sure-analysis-research-database/","Traeger Inc")</f>
        <v>Traeger Inc</v>
      </c>
      <c r="C430">
        <v>-9.9567099567099013E-2</v>
      </c>
      <c r="D430">
        <v>-0.122362869198312</v>
      </c>
      <c r="E430">
        <v>-0.562105263157894</v>
      </c>
      <c r="F430">
        <v>-0.238095238095238</v>
      </c>
      <c r="G430">
        <v>-0.46666666666666612</v>
      </c>
      <c r="H430">
        <v>-0.77489177489177408</v>
      </c>
      <c r="I430">
        <v>-0.90545454545454507</v>
      </c>
    </row>
    <row r="431" spans="1:9" x14ac:dyDescent="0.2">
      <c r="A431" s="1" t="s">
        <v>431</v>
      </c>
      <c r="B431" t="str">
        <f>HYPERLINK("https://www.suredividend.com/sure-analysis-research-database/","Mr. Cooper Group Inc")</f>
        <v>Mr. Cooper Group Inc</v>
      </c>
      <c r="C431">
        <v>0.14368718592964799</v>
      </c>
      <c r="D431">
        <v>0.223211286530063</v>
      </c>
      <c r="E431">
        <v>0.28064005626868299</v>
      </c>
      <c r="F431">
        <v>0.118396805896805</v>
      </c>
      <c r="G431">
        <v>0.54858600893046905</v>
      </c>
      <c r="H431">
        <v>0.42135050741607999</v>
      </c>
      <c r="I431">
        <v>4.0020604395604389</v>
      </c>
    </row>
    <row r="432" spans="1:9" x14ac:dyDescent="0.2">
      <c r="A432" s="1" t="s">
        <v>432</v>
      </c>
      <c r="B432" t="str">
        <f>HYPERLINK("https://www.suredividend.com/sure-analysis-research-database/","Corcept Therapeutics Inc")</f>
        <v>Corcept Therapeutics Inc</v>
      </c>
      <c r="C432">
        <v>-7.5348075348075E-2</v>
      </c>
      <c r="D432">
        <v>-0.12952968388589001</v>
      </c>
      <c r="E432">
        <v>-0.26996443582282498</v>
      </c>
      <c r="F432">
        <v>-0.30480295566502402</v>
      </c>
      <c r="G432">
        <v>2.2192632046149998E-3</v>
      </c>
      <c r="H432">
        <v>1.774622892635E-3</v>
      </c>
      <c r="I432">
        <v>0.99469964664310906</v>
      </c>
    </row>
    <row r="433" spans="1:9" x14ac:dyDescent="0.2">
      <c r="A433" s="1" t="s">
        <v>433</v>
      </c>
      <c r="B433" t="str">
        <f>HYPERLINK("https://www.suredividend.com/sure-analysis-research-database/","Coursera Inc")</f>
        <v>Coursera Inc</v>
      </c>
      <c r="C433">
        <v>-5.9225512528473002E-2</v>
      </c>
      <c r="D433">
        <v>-0.14757481940144401</v>
      </c>
      <c r="E433">
        <v>4.4908285895003001E-2</v>
      </c>
      <c r="F433">
        <v>-0.14713474445017999</v>
      </c>
      <c r="G433">
        <v>0.26010678871090698</v>
      </c>
      <c r="H433">
        <v>-0.16984924623115499</v>
      </c>
      <c r="I433">
        <v>-0.63288888888888806</v>
      </c>
    </row>
    <row r="434" spans="1:9" x14ac:dyDescent="0.2">
      <c r="A434" s="1" t="s">
        <v>434</v>
      </c>
      <c r="B434" t="str">
        <f>HYPERLINK("https://www.suredividend.com/sure-analysis-research-database/","Callon Petroleum Co.")</f>
        <v>Callon Petroleum Co.</v>
      </c>
      <c r="C434">
        <v>3.7335049887351E-2</v>
      </c>
      <c r="D434">
        <v>-1.8275967103258999E-2</v>
      </c>
      <c r="E434">
        <v>-0.123470220288278</v>
      </c>
      <c r="F434">
        <v>-5.2469135802460003E-3</v>
      </c>
      <c r="G434">
        <v>-0.107449459983384</v>
      </c>
      <c r="H434">
        <v>-0.37947631882941801</v>
      </c>
      <c r="I434">
        <v>-0.57026666666666603</v>
      </c>
    </row>
    <row r="435" spans="1:9" x14ac:dyDescent="0.2">
      <c r="A435" s="1" t="s">
        <v>435</v>
      </c>
      <c r="B435" t="str">
        <f>HYPERLINK("https://www.suredividend.com/sure-analysis-research-database/","Central Pacific Financial Corp.")</f>
        <v>Central Pacific Financial Corp.</v>
      </c>
      <c r="C435">
        <v>2.6301946344019999E-3</v>
      </c>
      <c r="D435">
        <v>0.106756089771506</v>
      </c>
      <c r="E435">
        <v>0.147508413656915</v>
      </c>
      <c r="F435">
        <v>-3.1504065040650002E-2</v>
      </c>
      <c r="G435">
        <v>-0.123674131835089</v>
      </c>
      <c r="H435">
        <v>-0.27555236281675499</v>
      </c>
      <c r="I435">
        <v>-0.19716607205287001</v>
      </c>
    </row>
    <row r="436" spans="1:9" x14ac:dyDescent="0.2">
      <c r="A436" s="1" t="s">
        <v>436</v>
      </c>
      <c r="B436" t="str">
        <f>HYPERLINK("https://www.suredividend.com/sure-analysis-CPK/","Chesapeake Utilities Corp")</f>
        <v>Chesapeake Utilities Corp</v>
      </c>
      <c r="C436">
        <v>4.2485606511811998E-2</v>
      </c>
      <c r="D436">
        <v>0.13259272280596501</v>
      </c>
      <c r="E436">
        <v>-4.2474140328323001E-2</v>
      </c>
      <c r="F436">
        <v>-5.7748745621500003E-3</v>
      </c>
      <c r="G436">
        <v>-0.12784082887509499</v>
      </c>
      <c r="H436">
        <v>-0.159367901013209</v>
      </c>
      <c r="I436">
        <v>0.26019060052845899</v>
      </c>
    </row>
    <row r="437" spans="1:9" x14ac:dyDescent="0.2">
      <c r="A437" s="1" t="s">
        <v>437</v>
      </c>
      <c r="B437" t="str">
        <f>HYPERLINK("https://www.suredividend.com/sure-analysis-research-database/","Catalyst Pharmaceuticals Inc")</f>
        <v>Catalyst Pharmaceuticals Inc</v>
      </c>
      <c r="C437">
        <v>-5.2884615384615002E-2</v>
      </c>
      <c r="D437">
        <v>5.8351568198390007E-3</v>
      </c>
      <c r="E437">
        <v>-4.5013850415512001E-2</v>
      </c>
      <c r="F437">
        <v>-0.17965496728138</v>
      </c>
      <c r="G437">
        <v>-0.111469072164948</v>
      </c>
      <c r="H437">
        <v>0.80497382198952805</v>
      </c>
      <c r="I437">
        <v>3.9963768115942031</v>
      </c>
    </row>
    <row r="438" spans="1:9" x14ac:dyDescent="0.2">
      <c r="A438" s="1" t="s">
        <v>438</v>
      </c>
      <c r="B438" t="str">
        <f>HYPERLINK("https://www.suredividend.com/sure-analysis-research-database/","Cooper-Standard Holdings Inc")</f>
        <v>Cooper-Standard Holdings Inc</v>
      </c>
      <c r="C438">
        <v>-0.13038277511961699</v>
      </c>
      <c r="D438">
        <v>-0.231907025884838</v>
      </c>
      <c r="E438">
        <v>-0.106879606879606</v>
      </c>
      <c r="F438">
        <v>-0.25588536335721601</v>
      </c>
      <c r="G438">
        <v>-4.0264026402640013E-2</v>
      </c>
      <c r="H438">
        <v>3.4506556245680001E-3</v>
      </c>
      <c r="I438">
        <v>-0.76902303415409001</v>
      </c>
    </row>
    <row r="439" spans="1:9" x14ac:dyDescent="0.2">
      <c r="A439" s="1" t="s">
        <v>439</v>
      </c>
      <c r="B439" t="str">
        <f>HYPERLINK("https://www.suredividend.com/sure-analysis-research-database/","Computer Programs &amp; Systems Inc")</f>
        <v>Computer Programs &amp; Systems Inc</v>
      </c>
      <c r="C439">
        <v>3.8854805725970998E-2</v>
      </c>
      <c r="D439">
        <v>-0.11575282854656201</v>
      </c>
      <c r="E439">
        <v>-0.45784418356456702</v>
      </c>
      <c r="F439">
        <v>-9.2857142857142014E-2</v>
      </c>
      <c r="G439">
        <v>-0.6750879437160211</v>
      </c>
      <c r="H439">
        <v>-0.659517426273458</v>
      </c>
      <c r="I439">
        <v>-0.68382595490163101</v>
      </c>
    </row>
    <row r="440" spans="1:9" x14ac:dyDescent="0.2">
      <c r="A440" s="1" t="s">
        <v>440</v>
      </c>
      <c r="B440" t="str">
        <f>HYPERLINK("https://www.suredividend.com/sure-analysis-research-database/","Consumer Portfolio Service, Inc.")</f>
        <v>Consumer Portfolio Service, Inc.</v>
      </c>
      <c r="C440">
        <v>0.102380952380952</v>
      </c>
      <c r="D440">
        <v>-8.2259663032705002E-2</v>
      </c>
      <c r="E440">
        <v>1.5350877192982001E-2</v>
      </c>
      <c r="F440">
        <v>-1.1739594450373E-2</v>
      </c>
      <c r="G440">
        <v>-0.17173524150268299</v>
      </c>
      <c r="H440">
        <v>-0.211243611584327</v>
      </c>
      <c r="I440">
        <v>1.2153110047846889</v>
      </c>
    </row>
    <row r="441" spans="1:9" x14ac:dyDescent="0.2">
      <c r="A441" s="1" t="s">
        <v>441</v>
      </c>
      <c r="B441" t="str">
        <f>HYPERLINK("https://www.suredividend.com/sure-analysis-research-database/","CRA International Inc.")</f>
        <v>CRA International Inc.</v>
      </c>
      <c r="C441">
        <v>4.8966883668269998E-2</v>
      </c>
      <c r="D441">
        <v>0.162348198454384</v>
      </c>
      <c r="E441">
        <v>5.5546747201395012E-2</v>
      </c>
      <c r="F441">
        <v>0.1247344461305</v>
      </c>
      <c r="G441">
        <v>-8.5734397536959009E-2</v>
      </c>
      <c r="H441">
        <v>0.32112106355117498</v>
      </c>
      <c r="I441">
        <v>1.7974596912176171</v>
      </c>
    </row>
    <row r="442" spans="1:9" x14ac:dyDescent="0.2">
      <c r="A442" s="1" t="s">
        <v>442</v>
      </c>
      <c r="B442" t="str">
        <f>HYPERLINK("https://www.suredividend.com/sure-analysis-research-database/","Caribou Biosciences Inc")</f>
        <v>Caribou Biosciences Inc</v>
      </c>
      <c r="C442">
        <v>0.330078125</v>
      </c>
      <c r="D442">
        <v>0.22482014388489199</v>
      </c>
      <c r="E442">
        <v>0.118226600985221</v>
      </c>
      <c r="F442">
        <v>0.188481675392669</v>
      </c>
      <c r="G442">
        <v>-5.8394160583940006E-3</v>
      </c>
      <c r="H442">
        <v>-0.31900000000000001</v>
      </c>
      <c r="I442">
        <v>-0.58272058823529405</v>
      </c>
    </row>
    <row r="443" spans="1:9" x14ac:dyDescent="0.2">
      <c r="A443" s="1" t="s">
        <v>443</v>
      </c>
      <c r="B443" t="str">
        <f>HYPERLINK("https://www.suredividend.com/sure-analysis-research-database/","California Resources Corporation")</f>
        <v>California Resources Corporation</v>
      </c>
      <c r="C443">
        <v>5.3204113924050007E-2</v>
      </c>
      <c r="D443">
        <v>3.2625136713750003E-2</v>
      </c>
      <c r="E443">
        <v>-2.1565972177561999E-2</v>
      </c>
      <c r="F443">
        <v>-2.6152158010241001E-2</v>
      </c>
      <c r="G443">
        <v>0.37978032342569001</v>
      </c>
      <c r="H443">
        <v>0.36970797568736202</v>
      </c>
      <c r="I443">
        <v>2.7203940473695241</v>
      </c>
    </row>
    <row r="444" spans="1:9" x14ac:dyDescent="0.2">
      <c r="A444" s="1" t="s">
        <v>444</v>
      </c>
      <c r="B444" t="str">
        <f>HYPERLINK("https://www.suredividend.com/sure-analysis-research-database/","Cricut Inc")</f>
        <v>Cricut Inc</v>
      </c>
      <c r="C444">
        <v>-6.4748201438848005E-2</v>
      </c>
      <c r="D444">
        <v>-0.28961748633879703</v>
      </c>
      <c r="E444">
        <v>-0.44562899786780302</v>
      </c>
      <c r="F444">
        <v>-0.21092564491654001</v>
      </c>
      <c r="G444">
        <v>-0.36635593736672101</v>
      </c>
      <c r="H444">
        <v>-0.653776499414083</v>
      </c>
      <c r="I444">
        <v>-0.64443958207975405</v>
      </c>
    </row>
    <row r="445" spans="1:9" x14ac:dyDescent="0.2">
      <c r="A445" s="1" t="s">
        <v>445</v>
      </c>
      <c r="B445" t="str">
        <f>HYPERLINK("https://www.suredividend.com/sure-analysis-research-database/","Credo Technology Group Holding Ltd")</f>
        <v>Credo Technology Group Holding Ltd</v>
      </c>
      <c r="C445">
        <v>3.0317613089509001E-2</v>
      </c>
      <c r="D445">
        <v>0.177020340846618</v>
      </c>
      <c r="E445">
        <v>0.52710413694721803</v>
      </c>
      <c r="F445">
        <v>9.9640472521828005E-2</v>
      </c>
      <c r="G445">
        <v>1.2186528497409319</v>
      </c>
      <c r="H445">
        <v>0.40855263157894711</v>
      </c>
      <c r="I445">
        <v>0.83776824034334707</v>
      </c>
    </row>
    <row r="446" spans="1:9" x14ac:dyDescent="0.2">
      <c r="A446" s="1" t="s">
        <v>446</v>
      </c>
      <c r="B446" t="str">
        <f>HYPERLINK("https://www.suredividend.com/sure-analysis-research-database/","Charge Enterprises Inc")</f>
        <v>Charge Enterprises Inc</v>
      </c>
      <c r="C446">
        <v>-0.45756222080408399</v>
      </c>
      <c r="D446">
        <v>-0.70238095238095211</v>
      </c>
      <c r="E446">
        <v>-0.86609955891619406</v>
      </c>
      <c r="F446">
        <v>-0.25503943908851801</v>
      </c>
      <c r="G446">
        <v>-0.93145161290322509</v>
      </c>
      <c r="H446">
        <v>849</v>
      </c>
      <c r="I446">
        <v>849</v>
      </c>
    </row>
    <row r="447" spans="1:9" x14ac:dyDescent="0.2">
      <c r="A447" s="1" t="s">
        <v>447</v>
      </c>
      <c r="B447" t="str">
        <f>HYPERLINK("https://www.suredividend.com/sure-analysis-research-database/","Crescent Energy Co.")</f>
        <v>Crescent Energy Co.</v>
      </c>
      <c r="C447">
        <v>-9.1240875912400007E-4</v>
      </c>
      <c r="D447">
        <v>-5.0303555941023002E-2</v>
      </c>
      <c r="E447">
        <v>-0.18228661040997601</v>
      </c>
      <c r="F447">
        <v>-0.17108251324753901</v>
      </c>
      <c r="G447">
        <v>2.7493666134934001E-2</v>
      </c>
      <c r="H447">
        <v>-0.15293571594337399</v>
      </c>
      <c r="I447">
        <v>-0.28891024683581301</v>
      </c>
    </row>
    <row r="448" spans="1:9" x14ac:dyDescent="0.2">
      <c r="A448" s="1" t="s">
        <v>448</v>
      </c>
      <c r="B448" t="str">
        <f>HYPERLINK("https://www.suredividend.com/sure-analysis-research-database/","Comstock Resources, Inc.")</f>
        <v>Comstock Resources, Inc.</v>
      </c>
      <c r="C448">
        <v>-5.6320400500625013E-2</v>
      </c>
      <c r="D448">
        <v>-0.291759423638703</v>
      </c>
      <c r="E448">
        <v>-0.34725396495602101</v>
      </c>
      <c r="F448">
        <v>-0.148022598870056</v>
      </c>
      <c r="G448">
        <v>-0.34495160982051298</v>
      </c>
      <c r="H448">
        <v>7.3401286942657004E-2</v>
      </c>
      <c r="I448">
        <v>0.194266254850716</v>
      </c>
    </row>
    <row r="449" spans="1:9" x14ac:dyDescent="0.2">
      <c r="A449" s="1" t="s">
        <v>449</v>
      </c>
      <c r="B449" t="str">
        <f>HYPERLINK("https://www.suredividend.com/sure-analysis-research-database/","CorMedix Inc")</f>
        <v>CorMedix Inc</v>
      </c>
      <c r="C449">
        <v>9.2024539877300013E-3</v>
      </c>
      <c r="D449">
        <v>-0.12962962962962901</v>
      </c>
      <c r="E449">
        <v>-0.19559902200488999</v>
      </c>
      <c r="F449">
        <v>-0.124999999999999</v>
      </c>
      <c r="G449">
        <v>-0.26067415730337001</v>
      </c>
      <c r="H449">
        <v>-0.18362282878411901</v>
      </c>
      <c r="I449">
        <v>-0.64623655913978506</v>
      </c>
    </row>
    <row r="450" spans="1:9" x14ac:dyDescent="0.2">
      <c r="A450" s="1" t="s">
        <v>450</v>
      </c>
      <c r="B450" t="str">
        <f>HYPERLINK("https://www.suredividend.com/sure-analysis-research-database/","Americas Car Mart, Inc.")</f>
        <v>Americas Car Mart, Inc.</v>
      </c>
      <c r="C450">
        <v>-1.1918004131573999E-2</v>
      </c>
      <c r="D450">
        <v>-0.222263914946841</v>
      </c>
      <c r="E450">
        <v>-0.42308406012247102</v>
      </c>
      <c r="F450">
        <v>-0.17935858519202799</v>
      </c>
      <c r="G450">
        <v>-0.34263664235119901</v>
      </c>
      <c r="H450">
        <v>-0.342080203153105</v>
      </c>
      <c r="I450">
        <v>-0.26769520668943497</v>
      </c>
    </row>
    <row r="451" spans="1:9" x14ac:dyDescent="0.2">
      <c r="A451" s="1" t="s">
        <v>451</v>
      </c>
      <c r="B451" t="str">
        <f>HYPERLINK("https://www.suredividend.com/sure-analysis-research-database/","Cerence Inc")</f>
        <v>Cerence Inc</v>
      </c>
      <c r="C451">
        <v>-0.20709146968139699</v>
      </c>
      <c r="D451">
        <v>-0.15219780219780199</v>
      </c>
      <c r="E451">
        <v>-0.38329336530775299</v>
      </c>
      <c r="F451">
        <v>-0.21515768056968401</v>
      </c>
      <c r="G451">
        <v>-0.45496291063228511</v>
      </c>
      <c r="H451">
        <v>-0.59817708333333308</v>
      </c>
      <c r="I451">
        <v>5.2117263843640014E-3</v>
      </c>
    </row>
    <row r="452" spans="1:9" x14ac:dyDescent="0.2">
      <c r="A452" s="1" t="s">
        <v>452</v>
      </c>
      <c r="B452" t="str">
        <f>HYPERLINK("https://www.suredividend.com/sure-analysis-research-database/","Crinetics Pharmaceuticals Inc")</f>
        <v>Crinetics Pharmaceuticals Inc</v>
      </c>
      <c r="C452">
        <v>5.4084507042252997E-2</v>
      </c>
      <c r="D452">
        <v>0.238252812706816</v>
      </c>
      <c r="E452">
        <v>1.318463444857497</v>
      </c>
      <c r="F452">
        <v>5.1714446318156013E-2</v>
      </c>
      <c r="G452">
        <v>0.8025048169556831</v>
      </c>
      <c r="H452">
        <v>0.91602662570404503</v>
      </c>
      <c r="I452">
        <v>0.531723291035612</v>
      </c>
    </row>
    <row r="453" spans="1:9" x14ac:dyDescent="0.2">
      <c r="A453" s="1" t="s">
        <v>453</v>
      </c>
      <c r="B453" t="str">
        <f>HYPERLINK("https://www.suredividend.com/sure-analysis-research-database/","Carpenter Technology Corp.")</f>
        <v>Carpenter Technology Corp.</v>
      </c>
      <c r="C453">
        <v>-2.2526620583763E-2</v>
      </c>
      <c r="D453">
        <v>-4.8890666541185013E-2</v>
      </c>
      <c r="E453">
        <v>0.12645836127128801</v>
      </c>
      <c r="F453">
        <v>-8.355023683453601E-2</v>
      </c>
      <c r="G453">
        <v>0.30491623357758502</v>
      </c>
      <c r="H453">
        <v>0.75739857190988003</v>
      </c>
      <c r="I453">
        <v>0.51527930055382209</v>
      </c>
    </row>
    <row r="454" spans="1:9" x14ac:dyDescent="0.2">
      <c r="A454" s="1" t="s">
        <v>454</v>
      </c>
      <c r="B454" t="str">
        <f>HYPERLINK("https://www.suredividend.com/sure-analysis-research-database/","Corsair Gaming Inc")</f>
        <v>Corsair Gaming Inc</v>
      </c>
      <c r="C454">
        <v>1.480384900073E-3</v>
      </c>
      <c r="D454">
        <v>3.046458492003E-2</v>
      </c>
      <c r="E454">
        <v>-9.8000000000000004E-2</v>
      </c>
      <c r="F454">
        <v>-4.0425531914893002E-2</v>
      </c>
      <c r="G454">
        <v>-0.258630136986301</v>
      </c>
      <c r="H454">
        <v>-0.40212107821475901</v>
      </c>
      <c r="I454">
        <v>-5.0526315789473003E-2</v>
      </c>
    </row>
    <row r="455" spans="1:9" x14ac:dyDescent="0.2">
      <c r="A455" s="1" t="s">
        <v>455</v>
      </c>
      <c r="B455" t="str">
        <f>HYPERLINK("https://www.suredividend.com/sure-analysis-research-database/","Corvel Corp.")</f>
        <v>Corvel Corp.</v>
      </c>
      <c r="C455">
        <v>7.0933515872336012E-2</v>
      </c>
      <c r="D455">
        <v>0.16993830622546199</v>
      </c>
      <c r="E455">
        <v>0.13036802890042801</v>
      </c>
      <c r="F455">
        <v>1.2580397233121E-2</v>
      </c>
      <c r="G455">
        <v>0.35866261398176202</v>
      </c>
      <c r="H455">
        <v>0.54062038404726709</v>
      </c>
      <c r="I455">
        <v>2.757994295150878</v>
      </c>
    </row>
    <row r="456" spans="1:9" x14ac:dyDescent="0.2">
      <c r="A456" s="1" t="s">
        <v>456</v>
      </c>
      <c r="B456" t="str">
        <f>HYPERLINK("https://www.suredividend.com/sure-analysis-research-database/","CSG Systems International Inc.")</f>
        <v>CSG Systems International Inc.</v>
      </c>
      <c r="C456">
        <v>0</v>
      </c>
      <c r="D456">
        <v>1.9213984054232001E-2</v>
      </c>
      <c r="E456">
        <v>-4.9485087601970007E-3</v>
      </c>
      <c r="F456">
        <v>-2.1236609659838E-2</v>
      </c>
      <c r="G456">
        <v>-0.106347711045562</v>
      </c>
      <c r="H456">
        <v>-6.3718554660463E-2</v>
      </c>
      <c r="I456">
        <v>0.43886482185483111</v>
      </c>
    </row>
    <row r="457" spans="1:9" x14ac:dyDescent="0.2">
      <c r="A457" s="1" t="s">
        <v>457</v>
      </c>
      <c r="B457" t="str">
        <f>HYPERLINK("https://www.suredividend.com/sure-analysis-research-database/","Centerspace")</f>
        <v>Centerspace</v>
      </c>
      <c r="C457">
        <v>-1.7077464788732E-2</v>
      </c>
      <c r="D457">
        <v>5.0543900617003007E-2</v>
      </c>
      <c r="E457">
        <v>-5.3849086980468003E-2</v>
      </c>
      <c r="F457">
        <v>-4.0721649484536E-2</v>
      </c>
      <c r="G457">
        <v>-9.2553673914209003E-2</v>
      </c>
      <c r="H457">
        <v>-0.33994296766749099</v>
      </c>
      <c r="I457">
        <v>3.8496185443369999E-3</v>
      </c>
    </row>
    <row r="458" spans="1:9" x14ac:dyDescent="0.2">
      <c r="A458" s="1" t="s">
        <v>458</v>
      </c>
      <c r="B458" t="str">
        <f>HYPERLINK("https://www.suredividend.com/sure-analysis-research-database/","Castle Biosciences Inc")</f>
        <v>Castle Biosciences Inc</v>
      </c>
      <c r="C458">
        <v>0.30949895615866302</v>
      </c>
      <c r="D458">
        <v>0.25074775672980998</v>
      </c>
      <c r="E458">
        <v>0.42881548974943001</v>
      </c>
      <c r="F458">
        <v>0.162650602409638</v>
      </c>
      <c r="G458">
        <v>-3.5000000000000003E-2</v>
      </c>
      <c r="H458">
        <v>-0.36928104575163401</v>
      </c>
      <c r="I458">
        <v>0.17242990654205601</v>
      </c>
    </row>
    <row r="459" spans="1:9" x14ac:dyDescent="0.2">
      <c r="A459" s="1" t="s">
        <v>459</v>
      </c>
      <c r="B459" t="str">
        <f>HYPERLINK("https://www.suredividend.com/sure-analysis-research-database/","Constellium SE")</f>
        <v>Constellium SE</v>
      </c>
      <c r="C459">
        <v>-2.149382052659E-3</v>
      </c>
      <c r="D459">
        <v>4.3258426966292E-2</v>
      </c>
      <c r="E459">
        <v>8.1537565521258001E-2</v>
      </c>
      <c r="F459">
        <v>-6.9639278557114007E-2</v>
      </c>
      <c r="G459">
        <v>0.31144067796610098</v>
      </c>
      <c r="H459">
        <v>-3.3818938605618999E-2</v>
      </c>
      <c r="I459">
        <v>0.96507936507936509</v>
      </c>
    </row>
    <row r="460" spans="1:9" x14ac:dyDescent="0.2">
      <c r="A460" s="1" t="s">
        <v>460</v>
      </c>
      <c r="B460" t="str">
        <f>HYPERLINK("https://www.suredividend.com/sure-analysis-research-database/","CapStar Financial Holdings Inc")</f>
        <v>CapStar Financial Holdings Inc</v>
      </c>
      <c r="C460">
        <v>-1.8700240696166999E-2</v>
      </c>
      <c r="D460">
        <v>9.772961250510101E-2</v>
      </c>
      <c r="E460">
        <v>0.36468628119201801</v>
      </c>
      <c r="F460">
        <v>-3.2311765306066997E-2</v>
      </c>
      <c r="G460">
        <v>6.7453335939767003E-2</v>
      </c>
      <c r="H460">
        <v>-8.8241246711192003E-2</v>
      </c>
      <c r="I460">
        <v>0.19733423698181399</v>
      </c>
    </row>
    <row r="461" spans="1:9" x14ac:dyDescent="0.2">
      <c r="A461" s="1" t="s">
        <v>461</v>
      </c>
      <c r="B461" t="str">
        <f>HYPERLINK("https://www.suredividend.com/sure-analysis-research-database/","Carriage Services, Inc.")</f>
        <v>Carriage Services, Inc.</v>
      </c>
      <c r="C461">
        <v>8.0427021831662004E-2</v>
      </c>
      <c r="D461">
        <v>0.14810981364873599</v>
      </c>
      <c r="E461">
        <v>-0.16472055623374501</v>
      </c>
      <c r="F461">
        <v>1.1309963692446001E-2</v>
      </c>
      <c r="G461">
        <v>-0.23486208981710199</v>
      </c>
      <c r="H461">
        <v>-0.47505795627011699</v>
      </c>
      <c r="I461">
        <v>0.35563655157933199</v>
      </c>
    </row>
    <row r="462" spans="1:9" x14ac:dyDescent="0.2">
      <c r="A462" s="1" t="s">
        <v>462</v>
      </c>
      <c r="B462" t="str">
        <f>HYPERLINK("https://www.suredividend.com/sure-analysis-research-database/","CSW Industrials Inc")</f>
        <v>CSW Industrials Inc</v>
      </c>
      <c r="C462">
        <v>8.5235560610491007E-2</v>
      </c>
      <c r="D462">
        <v>0.38318791655949502</v>
      </c>
      <c r="E462">
        <v>0.26861696345095898</v>
      </c>
      <c r="F462">
        <v>0.12730330636673501</v>
      </c>
      <c r="G462">
        <v>0.66693807352554602</v>
      </c>
      <c r="H462">
        <v>1.0661058256234659</v>
      </c>
      <c r="I462">
        <v>3.2309309897249601</v>
      </c>
    </row>
    <row r="463" spans="1:9" x14ac:dyDescent="0.2">
      <c r="A463" s="1" t="s">
        <v>463</v>
      </c>
      <c r="B463" t="str">
        <f>HYPERLINK("https://www.suredividend.com/sure-analysis-CTBI/","Community Trust Bancorp, Inc.")</f>
        <v>Community Trust Bancorp, Inc.</v>
      </c>
      <c r="C463">
        <v>8.858267716535001E-3</v>
      </c>
      <c r="D463">
        <v>2.7316598930588E-2</v>
      </c>
      <c r="E463">
        <v>0.16423691369312901</v>
      </c>
      <c r="F463">
        <v>-6.5207478340173E-2</v>
      </c>
      <c r="G463">
        <v>8.1363983958330013E-3</v>
      </c>
      <c r="H463">
        <v>6.4163891621396005E-2</v>
      </c>
      <c r="I463">
        <v>0.20515925738674401</v>
      </c>
    </row>
    <row r="464" spans="1:9" x14ac:dyDescent="0.2">
      <c r="A464" s="1" t="s">
        <v>464</v>
      </c>
      <c r="B464" t="str">
        <f>HYPERLINK("https://www.suredividend.com/sure-analysis-research-database/","Contango Ore Inc")</f>
        <v>Contango Ore Inc</v>
      </c>
      <c r="C464">
        <v>2.0395156150413998E-2</v>
      </c>
      <c r="D464">
        <v>-0.29440282062582601</v>
      </c>
      <c r="E464">
        <v>-0.12561441835062701</v>
      </c>
      <c r="F464">
        <v>-0.115958034235229</v>
      </c>
      <c r="G464">
        <v>-0.29029598336783502</v>
      </c>
      <c r="H464">
        <v>-0.32389917187150202</v>
      </c>
      <c r="I464">
        <v>0.45545454545454511</v>
      </c>
    </row>
    <row r="465" spans="1:9" x14ac:dyDescent="0.2">
      <c r="A465" s="1" t="s">
        <v>465</v>
      </c>
      <c r="B465" t="str">
        <f>HYPERLINK("https://www.suredividend.com/sure-analysis-research-database/","Cytek BioSciences Inc")</f>
        <v>Cytek BioSciences Inc</v>
      </c>
      <c r="C465">
        <v>1.3301088270858E-2</v>
      </c>
      <c r="D465">
        <v>0.37828947368421001</v>
      </c>
      <c r="E465">
        <v>-9.4562647754130001E-3</v>
      </c>
      <c r="F465">
        <v>-8.1140350877192E-2</v>
      </c>
      <c r="G465">
        <v>-0.27383015597920202</v>
      </c>
      <c r="H465">
        <v>-0.39842067480258397</v>
      </c>
      <c r="I465">
        <v>-0.55330490405117205</v>
      </c>
    </row>
    <row r="466" spans="1:9" x14ac:dyDescent="0.2">
      <c r="A466" s="1" t="s">
        <v>466</v>
      </c>
      <c r="B466" t="str">
        <f>HYPERLINK("https://www.suredividend.com/sure-analysis-research-database/","Cantaloupe Inc")</f>
        <v>Cantaloupe Inc</v>
      </c>
      <c r="C466">
        <v>1.517450682852E-3</v>
      </c>
      <c r="D466">
        <v>-1.7857142857141999E-2</v>
      </c>
      <c r="E466">
        <v>-0.105691056910569</v>
      </c>
      <c r="F466">
        <v>-0.109311740890688</v>
      </c>
      <c r="G466">
        <v>9.9999999999999006E-2</v>
      </c>
      <c r="H466">
        <v>-0.122340425531914</v>
      </c>
      <c r="I466">
        <v>0.61369193154034207</v>
      </c>
    </row>
    <row r="467" spans="1:9" x14ac:dyDescent="0.2">
      <c r="A467" s="1" t="s">
        <v>467</v>
      </c>
      <c r="B467" t="str">
        <f>HYPERLINK("https://www.suredividend.com/sure-analysis-CTO/","CTO Realty Growth Inc")</f>
        <v>CTO Realty Growth Inc</v>
      </c>
      <c r="C467">
        <v>-1.7386091127098002E-2</v>
      </c>
      <c r="D467">
        <v>8.5719384395750008E-3</v>
      </c>
      <c r="E467">
        <v>3.7085782623275998E-2</v>
      </c>
      <c r="F467">
        <v>-5.4241200230812997E-2</v>
      </c>
      <c r="G467">
        <v>-6.8533010530861999E-2</v>
      </c>
      <c r="H467">
        <v>-2.4462829593475999E-2</v>
      </c>
      <c r="I467">
        <v>0.32864241765902702</v>
      </c>
    </row>
    <row r="468" spans="1:9" x14ac:dyDescent="0.2">
      <c r="A468" s="1" t="s">
        <v>468</v>
      </c>
      <c r="B468" t="str">
        <f>HYPERLINK("https://www.suredividend.com/sure-analysis-research-database/","Custom Truck One Source Inc")</f>
        <v>Custom Truck One Source Inc</v>
      </c>
      <c r="C468">
        <v>7.3667711598746008E-2</v>
      </c>
      <c r="D468">
        <v>0.20386643233743401</v>
      </c>
      <c r="E468">
        <v>5.7098765432098013E-2</v>
      </c>
      <c r="F468">
        <v>0.1084142394822</v>
      </c>
      <c r="G468">
        <v>-7.5573549257759012E-2</v>
      </c>
      <c r="H468">
        <v>-0.12960609911054599</v>
      </c>
      <c r="I468">
        <v>-0.217142857142857</v>
      </c>
    </row>
    <row r="469" spans="1:9" x14ac:dyDescent="0.2">
      <c r="A469" s="1" t="s">
        <v>469</v>
      </c>
      <c r="B469" t="str">
        <f>HYPERLINK("https://www.suredividend.com/sure-analysis-CTRE/","CareTrust REIT Inc")</f>
        <v>CareTrust REIT Inc</v>
      </c>
      <c r="C469">
        <v>5.4462242562927997E-2</v>
      </c>
      <c r="D469">
        <v>9.8043942269340004E-3</v>
      </c>
      <c r="E469">
        <v>0.19646668432285899</v>
      </c>
      <c r="F469">
        <v>2.9490616621983001E-2</v>
      </c>
      <c r="G469">
        <v>0.176386491978718</v>
      </c>
      <c r="H469">
        <v>0.45896656534954411</v>
      </c>
      <c r="I469">
        <v>0.338282189346019</v>
      </c>
    </row>
    <row r="470" spans="1:9" x14ac:dyDescent="0.2">
      <c r="A470" s="1" t="s">
        <v>470</v>
      </c>
      <c r="B470" t="str">
        <f>HYPERLINK("https://www.suredividend.com/sure-analysis-research-database/","CTS Corp.")</f>
        <v>CTS Corp.</v>
      </c>
      <c r="C470">
        <v>7.4506069983337003E-2</v>
      </c>
      <c r="D470">
        <v>0.14964777074281399</v>
      </c>
      <c r="E470">
        <v>3.3730199623973001E-2</v>
      </c>
      <c r="F470">
        <v>3.2007315957933012E-2</v>
      </c>
      <c r="G470">
        <v>9.1412909586390013E-3</v>
      </c>
      <c r="H470">
        <v>0.28057100871208102</v>
      </c>
      <c r="I470">
        <v>0.49252744345985899</v>
      </c>
    </row>
    <row r="471" spans="1:9" x14ac:dyDescent="0.2">
      <c r="A471" s="1" t="s">
        <v>471</v>
      </c>
      <c r="B471" t="str">
        <f>HYPERLINK("https://www.suredividend.com/sure-analysis-research-database/","Citius Pharmaceuticals Inc")</f>
        <v>Citius Pharmaceuticals Inc</v>
      </c>
      <c r="C471">
        <v>4.0221914008321001E-2</v>
      </c>
      <c r="D471">
        <v>-2.2419186652763001E-2</v>
      </c>
      <c r="E471">
        <v>-0.17026219714570201</v>
      </c>
      <c r="F471">
        <v>-8.5922009253130011E-3</v>
      </c>
      <c r="G471">
        <v>-0.38524590163934402</v>
      </c>
      <c r="H471">
        <v>-0.542682926829268</v>
      </c>
      <c r="I471">
        <v>-0.31192660550458701</v>
      </c>
    </row>
    <row r="472" spans="1:9" x14ac:dyDescent="0.2">
      <c r="A472" s="1" t="s">
        <v>472</v>
      </c>
      <c r="B472" t="str">
        <f>HYPERLINK("https://www.suredividend.com/sure-analysis-research-database/","Customers Bancorp Inc")</f>
        <v>Customers Bancorp Inc</v>
      </c>
      <c r="C472">
        <v>1.6029354963306E-2</v>
      </c>
      <c r="D472">
        <v>0.147437295528898</v>
      </c>
      <c r="E472">
        <v>0.48197183098591512</v>
      </c>
      <c r="F472">
        <v>-8.6948976049982002E-2</v>
      </c>
      <c r="G472">
        <v>0.64098565190268209</v>
      </c>
      <c r="H472">
        <v>-0.13484624239434301</v>
      </c>
      <c r="I472">
        <v>1.735815206369181</v>
      </c>
    </row>
    <row r="473" spans="1:9" x14ac:dyDescent="0.2">
      <c r="A473" s="1" t="s">
        <v>473</v>
      </c>
      <c r="B473" t="str">
        <f>HYPERLINK("https://www.suredividend.com/sure-analysis-research-database/","Cue Biopharma Inc")</f>
        <v>Cue Biopharma Inc</v>
      </c>
      <c r="C473">
        <v>-0.25714285714285701</v>
      </c>
      <c r="D473">
        <v>-0.14754098360655701</v>
      </c>
      <c r="E473">
        <v>-0.30434782608695599</v>
      </c>
      <c r="F473">
        <v>-0.21212121212121199</v>
      </c>
      <c r="G473">
        <v>-0.34591194968553401</v>
      </c>
      <c r="H473">
        <v>-0.68098159509202405</v>
      </c>
      <c r="I473">
        <v>-0.6645161290322581</v>
      </c>
    </row>
    <row r="474" spans="1:9" x14ac:dyDescent="0.2">
      <c r="A474" s="1" t="s">
        <v>474</v>
      </c>
      <c r="B474" t="str">
        <f>HYPERLINK("https://www.suredividend.com/sure-analysis-research-database/","Torrid Holdings Inc")</f>
        <v>Torrid Holdings Inc</v>
      </c>
      <c r="C474">
        <v>-0.20652173913043401</v>
      </c>
      <c r="D474">
        <v>0.21666666666666601</v>
      </c>
      <c r="E474">
        <v>0.58695652173913004</v>
      </c>
      <c r="F474">
        <v>-0.24090121317157701</v>
      </c>
      <c r="G474">
        <v>0.44078947368421001</v>
      </c>
      <c r="H474">
        <v>-0.50951847704367303</v>
      </c>
      <c r="I474">
        <v>-0.81863354037267011</v>
      </c>
    </row>
    <row r="475" spans="1:9" x14ac:dyDescent="0.2">
      <c r="A475" s="1" t="s">
        <v>475</v>
      </c>
      <c r="B475" t="str">
        <f>HYPERLINK("https://www.suredividend.com/sure-analysis-research-database/","Cutera Inc")</f>
        <v>Cutera Inc</v>
      </c>
      <c r="C475">
        <v>6.5454545454545002E-2</v>
      </c>
      <c r="D475">
        <v>0.29359823399558399</v>
      </c>
      <c r="E475">
        <v>-0.73411978221415608</v>
      </c>
      <c r="F475">
        <v>-0.168794326241134</v>
      </c>
      <c r="G475">
        <v>-0.91172039771015312</v>
      </c>
      <c r="H475">
        <v>-0.91734837799717905</v>
      </c>
      <c r="I475">
        <v>-0.81217948717948707</v>
      </c>
    </row>
    <row r="476" spans="1:9" x14ac:dyDescent="0.2">
      <c r="A476" s="1" t="s">
        <v>476</v>
      </c>
      <c r="B476" t="str">
        <f>HYPERLINK("https://www.suredividend.com/sure-analysis-research-database/","CVB Financial Corp.")</f>
        <v>CVB Financial Corp.</v>
      </c>
      <c r="C476">
        <v>-8.6796422935297005E-2</v>
      </c>
      <c r="D476">
        <v>-3.7768687574135013E-2</v>
      </c>
      <c r="E476">
        <v>1.5091890374753E-2</v>
      </c>
      <c r="F476">
        <v>-0.122123893805309</v>
      </c>
      <c r="G476">
        <v>-0.232330557754301</v>
      </c>
      <c r="H476">
        <v>-0.19515610077239001</v>
      </c>
      <c r="I476">
        <v>-7.1771921100613006E-2</v>
      </c>
    </row>
    <row r="477" spans="1:9" x14ac:dyDescent="0.2">
      <c r="A477" s="1" t="s">
        <v>477</v>
      </c>
      <c r="B477" t="str">
        <f>HYPERLINK("https://www.suredividend.com/sure-analysis-research-database/","Cavco Industries Inc")</f>
        <v>Cavco Industries Inc</v>
      </c>
      <c r="C477">
        <v>0.116978954720762</v>
      </c>
      <c r="D477">
        <v>0.28223810353843398</v>
      </c>
      <c r="E477">
        <v>0.35633158787521202</v>
      </c>
      <c r="F477">
        <v>6.1133229473198013E-2</v>
      </c>
      <c r="G477">
        <v>0.29133167152336398</v>
      </c>
      <c r="H477">
        <v>0.26726157662624</v>
      </c>
      <c r="I477">
        <v>1.596794690765321</v>
      </c>
    </row>
    <row r="478" spans="1:9" x14ac:dyDescent="0.2">
      <c r="A478" s="1" t="s">
        <v>478</v>
      </c>
      <c r="B478" t="str">
        <f>HYPERLINK("https://www.suredividend.com/sure-analysis-research-database/","Central Valley Community Bancorp")</f>
        <v>Central Valley Community Bancorp</v>
      </c>
      <c r="C478">
        <v>-8.9452399725309009E-2</v>
      </c>
      <c r="D478">
        <v>3.4831623066917013E-2</v>
      </c>
      <c r="E478">
        <v>0.29914430662708702</v>
      </c>
      <c r="F478">
        <v>-0.18926753265575999</v>
      </c>
      <c r="G478">
        <v>-0.26747721608603597</v>
      </c>
      <c r="H478">
        <v>-0.14586603934742201</v>
      </c>
      <c r="I478">
        <v>5.8038432211654008E-2</v>
      </c>
    </row>
    <row r="479" spans="1:9" x14ac:dyDescent="0.2">
      <c r="A479" s="1" t="s">
        <v>479</v>
      </c>
      <c r="B479" t="str">
        <f>HYPERLINK("https://www.suredividend.com/sure-analysis-research-database/","Commercial Vehicle Group Inc")</f>
        <v>Commercial Vehicle Group Inc</v>
      </c>
      <c r="C479">
        <v>4.3818466353676998E-2</v>
      </c>
      <c r="D479">
        <v>2.6153846153846E-2</v>
      </c>
      <c r="E479">
        <v>-0.279697624190064</v>
      </c>
      <c r="F479">
        <v>-4.8502139800284998E-2</v>
      </c>
      <c r="G479">
        <v>-0.18757612667478599</v>
      </c>
      <c r="H479">
        <v>-0.163111668757841</v>
      </c>
      <c r="I479">
        <v>-0.17450495049504899</v>
      </c>
    </row>
    <row r="480" spans="1:9" x14ac:dyDescent="0.2">
      <c r="A480" s="1" t="s">
        <v>480</v>
      </c>
      <c r="B480" t="str">
        <f>HYPERLINK("https://www.suredividend.com/sure-analysis-research-database/","Calavo Growers, Inc")</f>
        <v>Calavo Growers, Inc</v>
      </c>
      <c r="C480">
        <v>6.9452380236369002E-2</v>
      </c>
      <c r="D480">
        <v>0.18680621894801799</v>
      </c>
      <c r="E480">
        <v>-0.17081985369123601</v>
      </c>
      <c r="F480">
        <v>-2.5454645104492999E-2</v>
      </c>
      <c r="G480">
        <v>-0.12533395641119399</v>
      </c>
      <c r="H480">
        <v>-0.288387077409478</v>
      </c>
      <c r="I480">
        <v>-0.62646149402272699</v>
      </c>
    </row>
    <row r="481" spans="1:9" x14ac:dyDescent="0.2">
      <c r="A481" s="1" t="s">
        <v>481</v>
      </c>
      <c r="B481" t="str">
        <f>HYPERLINK("https://www.suredividend.com/sure-analysis-research-database/","CVR Energy Inc")</f>
        <v>CVR Energy Inc</v>
      </c>
      <c r="C481">
        <v>0.14899999999999999</v>
      </c>
      <c r="D481">
        <v>8.2600502512562013E-2</v>
      </c>
      <c r="E481">
        <v>2.8718772103127999E-2</v>
      </c>
      <c r="F481">
        <v>0.137623762376237</v>
      </c>
      <c r="G481">
        <v>0.204011275162159</v>
      </c>
      <c r="H481">
        <v>0.96866807924931309</v>
      </c>
      <c r="I481">
        <v>0.18136952498457701</v>
      </c>
    </row>
    <row r="482" spans="1:9" x14ac:dyDescent="0.2">
      <c r="A482" s="1" t="s">
        <v>482</v>
      </c>
      <c r="B482" t="str">
        <f>HYPERLINK("https://www.suredividend.com/sure-analysis-research-database/","Covenant Logistics Group Inc")</f>
        <v>Covenant Logistics Group Inc</v>
      </c>
      <c r="C482">
        <v>9.5491280306252008E-2</v>
      </c>
      <c r="D482">
        <v>0.22838228420440099</v>
      </c>
      <c r="E482">
        <v>3.8639988546932E-2</v>
      </c>
      <c r="F482">
        <v>0.118809730668983</v>
      </c>
      <c r="G482">
        <v>0.50128094151387104</v>
      </c>
      <c r="H482">
        <v>1.3532690383622601</v>
      </c>
      <c r="I482">
        <v>1.1067484662576681</v>
      </c>
    </row>
    <row r="483" spans="1:9" x14ac:dyDescent="0.2">
      <c r="A483" s="1" t="s">
        <v>483</v>
      </c>
      <c r="B483" t="str">
        <f>HYPERLINK("https://www.suredividend.com/sure-analysis-research-database/","Commvault Systems Inc")</f>
        <v>Commvault Systems Inc</v>
      </c>
      <c r="C483">
        <v>0.16831181979245699</v>
      </c>
      <c r="D483">
        <v>0.29936664320900702</v>
      </c>
      <c r="E483">
        <v>0.33913548012764699</v>
      </c>
      <c r="F483">
        <v>0.15616781465247301</v>
      </c>
      <c r="G483">
        <v>0.48114872453072299</v>
      </c>
      <c r="H483">
        <v>0.46819338422391799</v>
      </c>
      <c r="I483">
        <v>0.357048361017198</v>
      </c>
    </row>
    <row r="484" spans="1:9" x14ac:dyDescent="0.2">
      <c r="A484" s="1" t="s">
        <v>484</v>
      </c>
      <c r="B484" t="str">
        <f>HYPERLINK("https://www.suredividend.com/sure-analysis-research-database/","Codorus Valley Bancorp, Inc.")</f>
        <v>Codorus Valley Bancorp, Inc.</v>
      </c>
      <c r="C484">
        <v>-3.8285476487723E-2</v>
      </c>
      <c r="D484">
        <v>0.135291805855767</v>
      </c>
      <c r="E484">
        <v>0.11373493975903599</v>
      </c>
      <c r="F484">
        <v>-9.4417994082956008E-2</v>
      </c>
      <c r="G484">
        <v>-3.1932407015662002E-2</v>
      </c>
      <c r="H484">
        <v>0.135475882806703</v>
      </c>
      <c r="I484">
        <v>0.215605619874704</v>
      </c>
    </row>
    <row r="485" spans="1:9" x14ac:dyDescent="0.2">
      <c r="A485" s="1" t="s">
        <v>485</v>
      </c>
      <c r="B485" t="str">
        <f>HYPERLINK("https://www.suredividend.com/sure-analysis-research-database/","Carvana Co.")</f>
        <v>Carvana Co.</v>
      </c>
      <c r="C485">
        <v>0.15338379341050701</v>
      </c>
      <c r="D485">
        <v>0.564311594202898</v>
      </c>
      <c r="E485">
        <v>0.32134659525631198</v>
      </c>
      <c r="F485">
        <v>-2.1344918775971999E-2</v>
      </c>
      <c r="G485">
        <v>3.556728232189974</v>
      </c>
      <c r="H485">
        <v>-0.59011075949367009</v>
      </c>
      <c r="I485">
        <v>0.43359158826784711</v>
      </c>
    </row>
    <row r="486" spans="1:9" x14ac:dyDescent="0.2">
      <c r="A486" s="1" t="s">
        <v>486</v>
      </c>
      <c r="B486" t="str">
        <f>HYPERLINK("https://www.suredividend.com/sure-analysis-research-database/","CVRx Inc")</f>
        <v>CVRx Inc</v>
      </c>
      <c r="C486">
        <v>-0.16170373162457599</v>
      </c>
      <c r="D486">
        <v>0.21996708721886901</v>
      </c>
      <c r="E486">
        <v>0.27596098680435999</v>
      </c>
      <c r="F486">
        <v>-0.292620865139949</v>
      </c>
      <c r="G486">
        <v>0.293023255813953</v>
      </c>
      <c r="H486">
        <v>1.7765293383270899</v>
      </c>
      <c r="I486">
        <v>-0.20571428571428499</v>
      </c>
    </row>
    <row r="487" spans="1:9" x14ac:dyDescent="0.2">
      <c r="A487" s="1" t="s">
        <v>487</v>
      </c>
      <c r="B487" t="str">
        <f>HYPERLINK("https://www.suredividend.com/sure-analysis-CWCO/","Consolidated Water Co. Ltd.")</f>
        <v>Consolidated Water Co. Ltd.</v>
      </c>
      <c r="C487">
        <v>-7.3402948402948004E-2</v>
      </c>
      <c r="D487">
        <v>-0.113710606096213</v>
      </c>
      <c r="E487">
        <v>0.212664445257264</v>
      </c>
      <c r="F487">
        <v>-0.15252808988763999</v>
      </c>
      <c r="G487">
        <v>1.024913754916305</v>
      </c>
      <c r="H487">
        <v>2.281666394735411</v>
      </c>
      <c r="I487">
        <v>1.635625054599458</v>
      </c>
    </row>
    <row r="488" spans="1:9" x14ac:dyDescent="0.2">
      <c r="A488" s="1" t="s">
        <v>488</v>
      </c>
      <c r="B488" t="str">
        <f>HYPERLINK("https://www.suredividend.com/sure-analysis-CWH/","Camping World Holdings Inc")</f>
        <v>Camping World Holdings Inc</v>
      </c>
      <c r="C488">
        <v>5.8639562157930007E-3</v>
      </c>
      <c r="D488">
        <v>0.18215691950030499</v>
      </c>
      <c r="E488">
        <v>-1.815586108438E-3</v>
      </c>
      <c r="F488">
        <v>-2.018278750952E-2</v>
      </c>
      <c r="G488">
        <v>5.2072046286263003E-2</v>
      </c>
      <c r="H488">
        <v>-6.8209390334437001E-2</v>
      </c>
      <c r="I488">
        <v>1.1315549664485129</v>
      </c>
    </row>
    <row r="489" spans="1:9" x14ac:dyDescent="0.2">
      <c r="A489" s="1" t="s">
        <v>489</v>
      </c>
      <c r="B489" t="str">
        <f>HYPERLINK("https://www.suredividend.com/sure-analysis-research-database/","Cushman &amp; Wakefield plc")</f>
        <v>Cushman &amp; Wakefield plc</v>
      </c>
      <c r="C489">
        <v>0.11288711288711201</v>
      </c>
      <c r="D489">
        <v>0.31367924528301799</v>
      </c>
      <c r="E489">
        <v>0.236403995560488</v>
      </c>
      <c r="F489">
        <v>3.1481481481481E-2</v>
      </c>
      <c r="G489">
        <v>-0.20428571428571399</v>
      </c>
      <c r="H489">
        <v>-0.50751547303271405</v>
      </c>
      <c r="I489">
        <v>-0.39025725232621711</v>
      </c>
    </row>
    <row r="490" spans="1:9" x14ac:dyDescent="0.2">
      <c r="A490" s="1" t="s">
        <v>490</v>
      </c>
      <c r="B490" t="str">
        <f>HYPERLINK("https://www.suredividend.com/sure-analysis-research-database/","Casella Waste Systems, Inc.")</f>
        <v>Casella Waste Systems, Inc.</v>
      </c>
      <c r="C490">
        <v>7.2729422894985005E-2</v>
      </c>
      <c r="D490">
        <v>0.126132836747361</v>
      </c>
      <c r="E490">
        <v>0.13957286432160801</v>
      </c>
      <c r="F490">
        <v>6.1432249005382002E-2</v>
      </c>
      <c r="G490">
        <v>0.17591392273787801</v>
      </c>
      <c r="H490">
        <v>0.20866089273817401</v>
      </c>
      <c r="I490">
        <v>1.5887557077625569</v>
      </c>
    </row>
    <row r="491" spans="1:9" x14ac:dyDescent="0.2">
      <c r="A491" s="1" t="s">
        <v>491</v>
      </c>
      <c r="B491" t="str">
        <f>HYPERLINK("https://www.suredividend.com/sure-analysis-CWT/","California Water Service Group")</f>
        <v>California Water Service Group</v>
      </c>
      <c r="C491">
        <v>1.2842381987485E-2</v>
      </c>
      <c r="D491">
        <v>-4.8511525958131997E-2</v>
      </c>
      <c r="E491">
        <v>-6.7501385432107999E-2</v>
      </c>
      <c r="F491">
        <v>-7.6392538989540001E-2</v>
      </c>
      <c r="G491">
        <v>-0.19935841068777499</v>
      </c>
      <c r="H491">
        <v>-0.15830182709660001</v>
      </c>
      <c r="I491">
        <v>6.5780573593070008E-3</v>
      </c>
    </row>
    <row r="492" spans="1:9" x14ac:dyDescent="0.2">
      <c r="A492" s="1" t="s">
        <v>492</v>
      </c>
      <c r="B492" t="str">
        <f>HYPERLINK("https://www.suredividend.com/sure-analysis-research-database/","Sprinklr Inc")</f>
        <v>Sprinklr Inc</v>
      </c>
      <c r="C492">
        <v>3.9376538146021003E-2</v>
      </c>
      <c r="D492">
        <v>-0.173515981735159</v>
      </c>
      <c r="E492">
        <v>-8.4537572254335003E-2</v>
      </c>
      <c r="F492">
        <v>5.2325581395348007E-2</v>
      </c>
      <c r="G492">
        <v>0.162385321100917</v>
      </c>
      <c r="H492">
        <v>7.100591715976301E-2</v>
      </c>
      <c r="I492">
        <v>-0.28011363636363601</v>
      </c>
    </row>
    <row r="493" spans="1:9" x14ac:dyDescent="0.2">
      <c r="A493" s="1" t="s">
        <v>493</v>
      </c>
      <c r="B493" t="str">
        <f>HYPERLINK("https://www.suredividend.com/sure-analysis-research-database/","CoreCivic Inc")</f>
        <v>CoreCivic Inc</v>
      </c>
      <c r="C493">
        <v>3.4082668600434997E-2</v>
      </c>
      <c r="D493">
        <v>3.3333333333333E-2</v>
      </c>
      <c r="E493">
        <v>0.38044530493707601</v>
      </c>
      <c r="F493">
        <v>-1.8582243633860001E-2</v>
      </c>
      <c r="G493">
        <v>0.35037878787878701</v>
      </c>
      <c r="H493">
        <v>0.44478216818642302</v>
      </c>
      <c r="I493">
        <v>-0.23723736574093801</v>
      </c>
    </row>
    <row r="494" spans="1:9" x14ac:dyDescent="0.2">
      <c r="A494" s="1" t="s">
        <v>494</v>
      </c>
      <c r="B494" t="str">
        <f>HYPERLINK("https://www.suredividend.com/sure-analysis-research-database/","Community Health Systems, Inc.")</f>
        <v>Community Health Systems, Inc.</v>
      </c>
      <c r="C494">
        <v>9.4850948509485014E-2</v>
      </c>
      <c r="D494">
        <v>0.40766550522647999</v>
      </c>
      <c r="E494">
        <v>0.21321321321321299</v>
      </c>
      <c r="F494">
        <v>0.29073482428114999</v>
      </c>
      <c r="G494">
        <v>-0.49118387909319899</v>
      </c>
      <c r="H494">
        <v>-0.62453531598513001</v>
      </c>
      <c r="I494">
        <v>-7.3710073710070009E-3</v>
      </c>
    </row>
    <row r="495" spans="1:9" x14ac:dyDescent="0.2">
      <c r="A495" s="1" t="s">
        <v>495</v>
      </c>
      <c r="B495" t="str">
        <f>HYPERLINK("https://www.suredividend.com/sure-analysis-research-database/","CryoPort Inc")</f>
        <v>CryoPort Inc</v>
      </c>
      <c r="C495">
        <v>9.9653979238754006E-2</v>
      </c>
      <c r="D495">
        <v>0.14563806777217</v>
      </c>
      <c r="E495">
        <v>0.172693726937269</v>
      </c>
      <c r="F495">
        <v>2.5823111684957999E-2</v>
      </c>
      <c r="G495">
        <v>-0.24441274369947599</v>
      </c>
      <c r="H495">
        <v>-0.54181084198385199</v>
      </c>
      <c r="I495">
        <v>0.38294168842471699</v>
      </c>
    </row>
    <row r="496" spans="1:9" x14ac:dyDescent="0.2">
      <c r="A496" s="1" t="s">
        <v>496</v>
      </c>
      <c r="B496" t="str">
        <f>HYPERLINK("https://www.suredividend.com/sure-analysis-research-database/","Cytokinetics Inc")</f>
        <v>Cytokinetics Inc</v>
      </c>
      <c r="C496">
        <v>-5.0271739130434007E-2</v>
      </c>
      <c r="D496">
        <v>1.379758588672237</v>
      </c>
      <c r="E496">
        <v>1.3702219482120841</v>
      </c>
      <c r="F496">
        <v>-7.9051383399209002E-2</v>
      </c>
      <c r="G496">
        <v>0.68212644935462707</v>
      </c>
      <c r="H496">
        <v>1.203151862464183</v>
      </c>
      <c r="I496">
        <v>9.4754768392370554</v>
      </c>
    </row>
    <row r="497" spans="1:9" x14ac:dyDescent="0.2">
      <c r="A497" s="1" t="s">
        <v>497</v>
      </c>
      <c r="B497" t="str">
        <f>HYPERLINK("https://www.suredividend.com/sure-analysis-research-database/","Citizens Financial Services, Inc.")</f>
        <v>Citizens Financial Services, Inc.</v>
      </c>
      <c r="C497">
        <v>-0.17251313336722501</v>
      </c>
      <c r="D497">
        <v>-0.14156073154566501</v>
      </c>
      <c r="E497">
        <v>-4.1001459217521012E-2</v>
      </c>
      <c r="F497">
        <v>-0.24551915945611799</v>
      </c>
      <c r="G497">
        <v>-0.40073683719628711</v>
      </c>
      <c r="H497">
        <v>-6.0010422434290007E-3</v>
      </c>
      <c r="I497">
        <v>-6.0010422434290007E-3</v>
      </c>
    </row>
    <row r="498" spans="1:9" x14ac:dyDescent="0.2">
      <c r="A498" s="1" t="s">
        <v>498</v>
      </c>
      <c r="B498" t="str">
        <f>HYPERLINK("https://www.suredividend.com/sure-analysis-research-database/","Citizens &amp; Northern Corp")</f>
        <v>Citizens &amp; Northern Corp</v>
      </c>
      <c r="C498">
        <v>-4.3023682899708003E-2</v>
      </c>
      <c r="D498">
        <v>-2.9245138569897002E-2</v>
      </c>
      <c r="E498">
        <v>3.0592672063461002E-2</v>
      </c>
      <c r="F498">
        <v>-0.12835459744830599</v>
      </c>
      <c r="G498">
        <v>-6.4809397141325012E-2</v>
      </c>
      <c r="H498">
        <v>-0.11220231704926199</v>
      </c>
      <c r="I498">
        <v>-1.6500250787265001E-2</v>
      </c>
    </row>
    <row r="499" spans="1:9" x14ac:dyDescent="0.2">
      <c r="A499" s="1" t="s">
        <v>499</v>
      </c>
      <c r="B499" t="str">
        <f>HYPERLINK("https://www.suredividend.com/sure-analysis-research-database/","Daktronics Inc.")</f>
        <v>Daktronics Inc.</v>
      </c>
      <c r="C499">
        <v>-1.0443864229764999E-2</v>
      </c>
      <c r="D499">
        <v>-0.33567046450482002</v>
      </c>
      <c r="E499">
        <v>-5.7213930348258002E-2</v>
      </c>
      <c r="F499">
        <v>-0.10613207547169801</v>
      </c>
      <c r="G499">
        <v>0.86699507389162511</v>
      </c>
      <c r="H499">
        <v>0.63010752688172</v>
      </c>
      <c r="I499">
        <v>-4.4726461581115998E-2</v>
      </c>
    </row>
    <row r="500" spans="1:9" x14ac:dyDescent="0.2">
      <c r="A500" s="1" t="s">
        <v>500</v>
      </c>
      <c r="B500" t="str">
        <f>HYPERLINK("https://www.suredividend.com/sure-analysis-research-database/","Dana Inc")</f>
        <v>Dana Inc</v>
      </c>
      <c r="C500">
        <v>-5.0304878048780012E-2</v>
      </c>
      <c r="D500">
        <v>-5.1028179741051012E-2</v>
      </c>
      <c r="E500">
        <v>-0.206768568682</v>
      </c>
      <c r="F500">
        <v>-0.14715947980835001</v>
      </c>
      <c r="G500">
        <v>-0.32046247818499102</v>
      </c>
      <c r="H500">
        <v>-0.40303942047871799</v>
      </c>
      <c r="I500">
        <v>-0.306788025124761</v>
      </c>
    </row>
    <row r="501" spans="1:9" x14ac:dyDescent="0.2">
      <c r="A501" s="1" t="s">
        <v>501</v>
      </c>
      <c r="B501" t="str">
        <f>HYPERLINK("https://www.suredividend.com/sure-analysis-research-database/","Day One Biopharmaceuticals Inc")</f>
        <v>Day One Biopharmaceuticals Inc</v>
      </c>
      <c r="C501">
        <v>6.9683908045977003E-2</v>
      </c>
      <c r="D501">
        <v>0.22854785478547801</v>
      </c>
      <c r="E501">
        <v>6.9683908045977003E-2</v>
      </c>
      <c r="F501">
        <v>1.986301369863E-2</v>
      </c>
      <c r="G501">
        <v>-0.25735660847880298</v>
      </c>
      <c r="H501">
        <v>8.6068563092633013E-2</v>
      </c>
      <c r="I501">
        <v>-0.42487446890691299</v>
      </c>
    </row>
    <row r="502" spans="1:9" x14ac:dyDescent="0.2">
      <c r="A502" s="1" t="s">
        <v>502</v>
      </c>
      <c r="B502" t="str">
        <f>HYPERLINK("https://www.suredividend.com/sure-analysis-research-database/","Designer Brands Inc")</f>
        <v>Designer Brands Inc</v>
      </c>
      <c r="C502">
        <v>8.1409477521263013E-2</v>
      </c>
      <c r="D502">
        <v>-0.15255851154996</v>
      </c>
      <c r="E502">
        <v>-0.15480384801663699</v>
      </c>
      <c r="F502">
        <v>5.6497175141240006E-3</v>
      </c>
      <c r="G502">
        <v>-0.126526125701723</v>
      </c>
      <c r="H502">
        <v>-0.32909178627427299</v>
      </c>
      <c r="I502">
        <v>-0.67714904468765003</v>
      </c>
    </row>
    <row r="503" spans="1:9" x14ac:dyDescent="0.2">
      <c r="A503" s="1" t="s">
        <v>503</v>
      </c>
      <c r="B503" t="str">
        <f>HYPERLINK("https://www.suredividend.com/sure-analysis-research-database/","DigitalBridge Group Inc")</f>
        <v>DigitalBridge Group Inc</v>
      </c>
      <c r="C503">
        <v>9.8306936100490006E-3</v>
      </c>
      <c r="D503">
        <v>0.117862216982557</v>
      </c>
      <c r="E503">
        <v>0.20206997880612099</v>
      </c>
      <c r="F503">
        <v>5.4161915621435998E-2</v>
      </c>
      <c r="G503">
        <v>0.28759549028210002</v>
      </c>
      <c r="H503">
        <v>-0.340453157549296</v>
      </c>
      <c r="I503">
        <v>2.061258278145695</v>
      </c>
    </row>
    <row r="504" spans="1:9" x14ac:dyDescent="0.2">
      <c r="A504" s="1" t="s">
        <v>504</v>
      </c>
      <c r="B504" t="str">
        <f>HYPERLINK("https://www.suredividend.com/sure-analysis-research-database/","Dakota Gold Corp")</f>
        <v>Dakota Gold Corp</v>
      </c>
      <c r="C504">
        <v>-6.3636363636363005E-2</v>
      </c>
      <c r="D504">
        <v>-0.16260162601625999</v>
      </c>
      <c r="E504">
        <v>-0.29452054794520499</v>
      </c>
      <c r="F504">
        <v>-0.213740458015267</v>
      </c>
      <c r="G504">
        <v>-0.31561461794019902</v>
      </c>
      <c r="H504">
        <v>-0.70144927536231805</v>
      </c>
      <c r="I504">
        <v>-0.70144927536231805</v>
      </c>
    </row>
    <row r="505" spans="1:9" x14ac:dyDescent="0.2">
      <c r="A505" s="1" t="s">
        <v>505</v>
      </c>
      <c r="B505" t="str">
        <f>HYPERLINK("https://www.suredividend.com/sure-analysis-research-database/","DocGo Inc")</f>
        <v>DocGo Inc</v>
      </c>
      <c r="C505">
        <v>0.13968253968253899</v>
      </c>
      <c r="D505">
        <v>-0.37781629116117799</v>
      </c>
      <c r="E505">
        <v>-0.59753363228699508</v>
      </c>
      <c r="F505">
        <v>-0.35778175313059002</v>
      </c>
      <c r="G505">
        <v>-0.61020629750271405</v>
      </c>
      <c r="H505">
        <v>-0.49150141643059397</v>
      </c>
      <c r="I505">
        <v>-0.64455445544554402</v>
      </c>
    </row>
    <row r="506" spans="1:9" x14ac:dyDescent="0.2">
      <c r="A506" s="1" t="s">
        <v>506</v>
      </c>
      <c r="B506" t="str">
        <f>HYPERLINK("https://www.suredividend.com/sure-analysis-research-database/","Ducommun Inc.")</f>
        <v>Ducommun Inc.</v>
      </c>
      <c r="C506">
        <v>-7.5218540353720002E-3</v>
      </c>
      <c r="D506">
        <v>-1.9875527002609E-2</v>
      </c>
      <c r="E506">
        <v>0.113087095303237</v>
      </c>
      <c r="F506">
        <v>-6.2235881674990008E-2</v>
      </c>
      <c r="G506">
        <v>-8.9179104477612001E-2</v>
      </c>
      <c r="H506">
        <v>5.9691773388322003E-2</v>
      </c>
      <c r="I506">
        <v>0.17102422643319701</v>
      </c>
    </row>
    <row r="507" spans="1:9" x14ac:dyDescent="0.2">
      <c r="A507" s="1" t="s">
        <v>507</v>
      </c>
      <c r="B507" t="str">
        <f>HYPERLINK("https://www.suredividend.com/sure-analysis-research-database/","Dime Community Bancshares Inc")</f>
        <v>Dime Community Bancshares Inc</v>
      </c>
      <c r="C507">
        <v>-0.215622457282343</v>
      </c>
      <c r="D507">
        <v>-5.9636047935148997E-2</v>
      </c>
      <c r="E507">
        <v>-9.7061234047535014E-2</v>
      </c>
      <c r="F507">
        <v>-0.26984631931347303</v>
      </c>
      <c r="G507">
        <v>-0.32551329907257998</v>
      </c>
      <c r="H507">
        <v>-0.38642887603190001</v>
      </c>
      <c r="I507">
        <v>-0.40292775983326501</v>
      </c>
    </row>
    <row r="508" spans="1:9" x14ac:dyDescent="0.2">
      <c r="A508" s="1" t="s">
        <v>508</v>
      </c>
      <c r="B508" t="str">
        <f>HYPERLINK("https://www.suredividend.com/sure-analysis-research-database/","Deciphera Pharmaceuticals Inc")</f>
        <v>Deciphera Pharmaceuticals Inc</v>
      </c>
      <c r="C508">
        <v>0.14506627393225299</v>
      </c>
      <c r="D508">
        <v>0.26012965964343598</v>
      </c>
      <c r="E508">
        <v>6.4339493497604011E-2</v>
      </c>
      <c r="F508">
        <v>-3.5957842529448003E-2</v>
      </c>
      <c r="G508">
        <v>4.7843665768194002E-2</v>
      </c>
      <c r="H508">
        <v>0.94132334581772803</v>
      </c>
      <c r="I508">
        <v>-0.45572278613930611</v>
      </c>
    </row>
    <row r="509" spans="1:9" x14ac:dyDescent="0.2">
      <c r="A509" s="1" t="s">
        <v>509</v>
      </c>
      <c r="B509" t="str">
        <f>HYPERLINK("https://www.suredividend.com/sure-analysis-research-database/","3D Systems Corp.")</f>
        <v>3D Systems Corp.</v>
      </c>
      <c r="C509">
        <v>6.1349693251533013E-2</v>
      </c>
      <c r="D509">
        <v>7.453416149068301E-2</v>
      </c>
      <c r="E509">
        <v>-0.19783616692426501</v>
      </c>
      <c r="F509">
        <v>-0.18267716535433001</v>
      </c>
      <c r="G509">
        <v>-0.53494623655913909</v>
      </c>
      <c r="H509">
        <v>-0.704945992040932</v>
      </c>
      <c r="I509">
        <v>-0.629550321199143</v>
      </c>
    </row>
    <row r="510" spans="1:9" x14ac:dyDescent="0.2">
      <c r="A510" s="1" t="s">
        <v>510</v>
      </c>
      <c r="B510" t="str">
        <f>HYPERLINK("https://www.suredividend.com/sure-analysis-DDS/","Dillard`s Inc.")</f>
        <v>Dillard`s Inc.</v>
      </c>
      <c r="C510">
        <v>0.118183490578434</v>
      </c>
      <c r="D510">
        <v>0.30619833289944798</v>
      </c>
      <c r="E510">
        <v>0.32181144211280999</v>
      </c>
      <c r="F510">
        <v>5.4081506255419007E-2</v>
      </c>
      <c r="G510">
        <v>0.106292539337633</v>
      </c>
      <c r="H510">
        <v>0.9405661702597331</v>
      </c>
      <c r="I510">
        <v>6.6022012578616351</v>
      </c>
    </row>
    <row r="511" spans="1:9" x14ac:dyDescent="0.2">
      <c r="A511" s="1" t="s">
        <v>511</v>
      </c>
      <c r="B511" t="str">
        <f>HYPERLINK("https://www.suredividend.com/sure-analysis-DEA/","Easterly Government Properties Inc")</f>
        <v>Easterly Government Properties Inc</v>
      </c>
      <c r="C511">
        <v>-0.101616628175519</v>
      </c>
      <c r="D511">
        <v>-4.2662116040950004E-3</v>
      </c>
      <c r="E511">
        <v>-0.116725450719789</v>
      </c>
      <c r="F511">
        <v>-0.13169642857142799</v>
      </c>
      <c r="G511">
        <v>-0.20301039432887599</v>
      </c>
      <c r="H511">
        <v>-0.34078969666158199</v>
      </c>
      <c r="I511">
        <v>-0.12529887495596501</v>
      </c>
    </row>
    <row r="512" spans="1:9" x14ac:dyDescent="0.2">
      <c r="A512" s="1" t="s">
        <v>512</v>
      </c>
      <c r="B512" t="str">
        <f>HYPERLINK("https://www.suredividend.com/sure-analysis-DEI/","Douglas Emmett Inc")</f>
        <v>Douglas Emmett Inc</v>
      </c>
      <c r="C512">
        <v>-5.4469273743016001E-2</v>
      </c>
      <c r="D512">
        <v>0.15934583440363001</v>
      </c>
      <c r="E512">
        <v>7.5490881362393999E-2</v>
      </c>
      <c r="F512">
        <v>-6.6206896551724001E-2</v>
      </c>
      <c r="G512">
        <v>-6.8256731741892007E-2</v>
      </c>
      <c r="H512">
        <v>-0.52975334625296</v>
      </c>
      <c r="I512">
        <v>-0.57010141034677608</v>
      </c>
    </row>
    <row r="513" spans="1:9" x14ac:dyDescent="0.2">
      <c r="A513" s="1" t="s">
        <v>513</v>
      </c>
      <c r="B513" t="str">
        <f>HYPERLINK("https://www.suredividend.com/sure-analysis-research-database/","Denny`s Corp.")</f>
        <v>Denny`s Corp.</v>
      </c>
      <c r="C513">
        <v>-0.148975791433891</v>
      </c>
      <c r="D513">
        <v>-4.2931937172774007E-2</v>
      </c>
      <c r="E513">
        <v>-6.9246435845213006E-2</v>
      </c>
      <c r="F513">
        <v>-0.159926470588235</v>
      </c>
      <c r="G513">
        <v>-0.26704089815557303</v>
      </c>
      <c r="H513">
        <v>-0.42443324937027599</v>
      </c>
      <c r="I513">
        <v>-0.48852825965304902</v>
      </c>
    </row>
    <row r="514" spans="1:9" x14ac:dyDescent="0.2">
      <c r="A514" s="1" t="s">
        <v>514</v>
      </c>
      <c r="B514" t="str">
        <f>HYPERLINK("https://www.suredividend.com/sure-analysis-research-database/","Dream Finders Homes Inc")</f>
        <v>Dream Finders Homes Inc</v>
      </c>
      <c r="C514">
        <v>-4.539951573849E-3</v>
      </c>
      <c r="D514">
        <v>0.33916938110749101</v>
      </c>
      <c r="E514">
        <v>0.22678105184632599</v>
      </c>
      <c r="F514">
        <v>-7.4303405572754999E-2</v>
      </c>
      <c r="G514">
        <v>1.789652247667515</v>
      </c>
      <c r="H514">
        <v>0.72560335781741803</v>
      </c>
      <c r="I514">
        <v>0.56992840095465302</v>
      </c>
    </row>
    <row r="515" spans="1:9" x14ac:dyDescent="0.2">
      <c r="A515" s="1" t="s">
        <v>515</v>
      </c>
      <c r="B515" t="str">
        <f>HYPERLINK("https://www.suredividend.com/sure-analysis-research-database/","Donnelley Financial Solutions Inc")</f>
        <v>Donnelley Financial Solutions Inc</v>
      </c>
      <c r="C515">
        <v>8.2591093117400007E-3</v>
      </c>
      <c r="D515">
        <v>8.6941340782122012E-2</v>
      </c>
      <c r="E515">
        <v>0.34703591518823002</v>
      </c>
      <c r="F515">
        <v>-1.763668430335E-3</v>
      </c>
      <c r="G515">
        <v>0.25600161387936199</v>
      </c>
      <c r="H515">
        <v>0.89874961878621507</v>
      </c>
      <c r="I515">
        <v>2.6927639383155402</v>
      </c>
    </row>
    <row r="516" spans="1:9" x14ac:dyDescent="0.2">
      <c r="A516" s="1" t="s">
        <v>516</v>
      </c>
      <c r="B516" t="str">
        <f>HYPERLINK("https://www.suredividend.com/sure-analysis-research-database/","Dragonfly Energy Holdings Corp")</f>
        <v>Dragonfly Energy Holdings Corp</v>
      </c>
      <c r="C516">
        <v>0.11679163826403</v>
      </c>
      <c r="D516">
        <v>-0.215232316781095</v>
      </c>
      <c r="E516">
        <v>-0.74794871794871709</v>
      </c>
      <c r="F516">
        <v>-9.2838685861941009E-2</v>
      </c>
      <c r="G516">
        <v>-0.9159829059829061</v>
      </c>
      <c r="H516">
        <v>-0.96265197568389005</v>
      </c>
      <c r="I516">
        <v>-0.96265197568389005</v>
      </c>
    </row>
    <row r="517" spans="1:9" x14ac:dyDescent="0.2">
      <c r="A517" s="1" t="s">
        <v>517</v>
      </c>
      <c r="B517" t="str">
        <f>HYPERLINK("https://www.suredividend.com/sure-analysis-DGICA/","Donegal Group Inc.")</f>
        <v>Donegal Group Inc.</v>
      </c>
      <c r="C517">
        <v>6.0243740816503008E-2</v>
      </c>
      <c r="D517">
        <v>6.2486015172184002E-2</v>
      </c>
      <c r="E517">
        <v>4.1747758331505E-2</v>
      </c>
      <c r="F517">
        <v>7.6157124788899008E-2</v>
      </c>
      <c r="G517">
        <v>5.9465373044090997E-2</v>
      </c>
      <c r="H517">
        <v>0.186627864795363</v>
      </c>
      <c r="I517">
        <v>0.41897297974685999</v>
      </c>
    </row>
    <row r="518" spans="1:9" x14ac:dyDescent="0.2">
      <c r="A518" s="1" t="s">
        <v>518</v>
      </c>
      <c r="B518" t="str">
        <f>HYPERLINK("https://www.suredividend.com/sure-analysis-research-database/","Digi International, Inc.")</f>
        <v>Digi International, Inc.</v>
      </c>
      <c r="C518">
        <v>0.28825021132713402</v>
      </c>
      <c r="D518">
        <v>0.20521945432977401</v>
      </c>
      <c r="E518">
        <v>-5.870841487279E-3</v>
      </c>
      <c r="F518">
        <v>0.172307692307692</v>
      </c>
      <c r="G518">
        <v>-0.116521739130434</v>
      </c>
      <c r="H518">
        <v>0.513406156901688</v>
      </c>
      <c r="I518">
        <v>1.254437869822485</v>
      </c>
    </row>
    <row r="519" spans="1:9" x14ac:dyDescent="0.2">
      <c r="A519" s="1" t="s">
        <v>519</v>
      </c>
      <c r="B519" t="str">
        <f>HYPERLINK("https://www.suredividend.com/sure-analysis-research-database/","Definitive Healthcare Corp")</f>
        <v>Definitive Healthcare Corp</v>
      </c>
      <c r="C519">
        <v>0.11724137931034501</v>
      </c>
      <c r="D519">
        <v>0.178181818181818</v>
      </c>
      <c r="E519">
        <v>-1.8181818181818001E-2</v>
      </c>
      <c r="F519">
        <v>-2.2132796780684E-2</v>
      </c>
      <c r="G519">
        <v>-0.20846905537459201</v>
      </c>
      <c r="H519">
        <v>-0.55777979981801606</v>
      </c>
      <c r="I519">
        <v>-0.77546777546777501</v>
      </c>
    </row>
    <row r="520" spans="1:9" x14ac:dyDescent="0.2">
      <c r="A520" s="1" t="s">
        <v>520</v>
      </c>
      <c r="B520" t="str">
        <f>HYPERLINK("https://www.suredividend.com/sure-analysis-research-database/","Diversified Healthcare Trust")</f>
        <v>Diversified Healthcare Trust</v>
      </c>
      <c r="C520">
        <v>4.5138888888888007E-2</v>
      </c>
      <c r="D520">
        <v>0.45228215767634811</v>
      </c>
      <c r="E520">
        <v>3.5004470118974E-2</v>
      </c>
      <c r="F520">
        <v>-0.192293243170718</v>
      </c>
      <c r="G520">
        <v>2.6265060240963849</v>
      </c>
      <c r="H520">
        <v>2.9270961564765E-2</v>
      </c>
      <c r="I520">
        <v>-0.76670464498027402</v>
      </c>
    </row>
    <row r="521" spans="1:9" x14ac:dyDescent="0.2">
      <c r="A521" s="1" t="s">
        <v>521</v>
      </c>
      <c r="B521" t="str">
        <f>HYPERLINK("https://www.suredividend.com/sure-analysis-research-database/","Diamond Hill Investment Group, Inc.")</f>
        <v>Diamond Hill Investment Group, Inc.</v>
      </c>
      <c r="C521">
        <v>-6.2344449975112008E-2</v>
      </c>
      <c r="D521">
        <v>-5.0487357683365007E-2</v>
      </c>
      <c r="E521">
        <v>-9.4466874132097006E-2</v>
      </c>
      <c r="F521">
        <v>-8.9920888942569013E-2</v>
      </c>
      <c r="G521">
        <v>-0.161537785324741</v>
      </c>
      <c r="H521">
        <v>-5.0088152071620012E-2</v>
      </c>
      <c r="I521">
        <v>0.26943640224707899</v>
      </c>
    </row>
    <row r="522" spans="1:9" x14ac:dyDescent="0.2">
      <c r="A522" s="1" t="s">
        <v>522</v>
      </c>
      <c r="B522" t="str">
        <f>HYPERLINK("https://www.suredividend.com/sure-analysis-research-database/","DHT Holdings Inc")</f>
        <v>DHT Holdings Inc</v>
      </c>
      <c r="C522">
        <v>2.4093588969870999E-2</v>
      </c>
      <c r="D522">
        <v>0.101325984503554</v>
      </c>
      <c r="E522">
        <v>0.18307019049253401</v>
      </c>
      <c r="F522">
        <v>0.14623602277923201</v>
      </c>
      <c r="G522">
        <v>0.113770157422273</v>
      </c>
      <c r="H522">
        <v>1.3377063772969069</v>
      </c>
      <c r="I522">
        <v>3.080953085688916</v>
      </c>
    </row>
    <row r="523" spans="1:9" x14ac:dyDescent="0.2">
      <c r="A523" s="1" t="s">
        <v>523</v>
      </c>
      <c r="B523" t="str">
        <f>HYPERLINK("https://www.suredividend.com/sure-analysis-research-database/","DHI Group Inc")</f>
        <v>DHI Group Inc</v>
      </c>
      <c r="C523">
        <v>0.108695652173913</v>
      </c>
      <c r="D523">
        <v>9.4420600858369008E-2</v>
      </c>
      <c r="E523">
        <v>-0.32894736842105199</v>
      </c>
      <c r="F523">
        <v>-1.5444015444015E-2</v>
      </c>
      <c r="G523">
        <v>-0.45859872611464902</v>
      </c>
      <c r="H523">
        <v>-0.56925675675675602</v>
      </c>
      <c r="I523">
        <v>-8.2733812949640009E-2</v>
      </c>
    </row>
    <row r="524" spans="1:9" x14ac:dyDescent="0.2">
      <c r="A524" s="1" t="s">
        <v>524</v>
      </c>
      <c r="B524" t="str">
        <f>HYPERLINK("https://www.suredividend.com/sure-analysis-research-database/","Dine Brands Global Inc")</f>
        <v>Dine Brands Global Inc</v>
      </c>
      <c r="C524">
        <v>-1.3351134846459999E-3</v>
      </c>
      <c r="D524">
        <v>8.7047987647410011E-3</v>
      </c>
      <c r="E524">
        <v>-0.15821063490574799</v>
      </c>
      <c r="F524">
        <v>-9.6072507552870001E-2</v>
      </c>
      <c r="G524">
        <v>-0.42880851594576203</v>
      </c>
      <c r="H524">
        <v>-0.40273162448214711</v>
      </c>
      <c r="I524">
        <v>-0.41174388838862602</v>
      </c>
    </row>
    <row r="525" spans="1:9" x14ac:dyDescent="0.2">
      <c r="A525" s="1" t="s">
        <v>525</v>
      </c>
      <c r="B525" t="str">
        <f>HYPERLINK("https://www.suredividend.com/sure-analysis-research-database/","Diodes, Inc.")</f>
        <v>Diodes, Inc.</v>
      </c>
      <c r="C525">
        <v>-1.6794556247285E-2</v>
      </c>
      <c r="D525">
        <v>-4.2307149908334001E-2</v>
      </c>
      <c r="E525">
        <v>-0.16929663608562601</v>
      </c>
      <c r="F525">
        <v>-0.15660705414803699</v>
      </c>
      <c r="G525">
        <v>-0.27755319148936097</v>
      </c>
      <c r="H525">
        <v>-0.24097462836705</v>
      </c>
      <c r="I525">
        <v>0.6519095110678661</v>
      </c>
    </row>
    <row r="526" spans="1:9" x14ac:dyDescent="0.2">
      <c r="A526" s="1" t="s">
        <v>526</v>
      </c>
      <c r="B526" t="str">
        <f>HYPERLINK("https://www.suredividend.com/sure-analysis-research-database/","Daily Journal Corporation")</f>
        <v>Daily Journal Corporation</v>
      </c>
      <c r="C526">
        <v>-2.2160336552704E-2</v>
      </c>
      <c r="D526">
        <v>2.5986944358097001E-2</v>
      </c>
      <c r="E526">
        <v>0.11198706286638301</v>
      </c>
      <c r="F526">
        <v>-3.1570917199694001E-2</v>
      </c>
      <c r="G526">
        <v>0.118013684709707</v>
      </c>
      <c r="H526">
        <v>-2.0128250801567001E-2</v>
      </c>
      <c r="I526">
        <v>0.500409128102554</v>
      </c>
    </row>
    <row r="527" spans="1:9" x14ac:dyDescent="0.2">
      <c r="A527" s="1" t="s">
        <v>527</v>
      </c>
      <c r="B527" t="str">
        <f>HYPERLINK("https://www.suredividend.com/sure-analysis-research-database/","Delek US Holdings Inc")</f>
        <v>Delek US Holdings Inc</v>
      </c>
      <c r="C527">
        <v>0.11962310528471901</v>
      </c>
      <c r="D527">
        <v>-5.4585152838420008E-3</v>
      </c>
      <c r="E527">
        <v>-1.1962734401266001E-2</v>
      </c>
      <c r="F527">
        <v>5.9302325581394998E-2</v>
      </c>
      <c r="G527">
        <v>8.5583545842369005E-2</v>
      </c>
      <c r="H527">
        <v>0.63338732137627607</v>
      </c>
      <c r="I527">
        <v>-0.14989315342049001</v>
      </c>
    </row>
    <row r="528" spans="1:9" x14ac:dyDescent="0.2">
      <c r="A528" s="1" t="s">
        <v>528</v>
      </c>
      <c r="B528" t="str">
        <f>HYPERLINK("https://www.suredividend.com/sure-analysis-research-database/","Duluth Holdings Inc")</f>
        <v>Duluth Holdings Inc</v>
      </c>
      <c r="C528">
        <v>-1.8255578093306E-2</v>
      </c>
      <c r="D528">
        <v>-7.9847908745247012E-2</v>
      </c>
      <c r="E528">
        <v>-0.36897001303780902</v>
      </c>
      <c r="F528">
        <v>-0.100371747211895</v>
      </c>
      <c r="G528">
        <v>-0.22435897435897401</v>
      </c>
      <c r="H528">
        <v>-0.66917293233082709</v>
      </c>
      <c r="I528">
        <v>-0.81334361743154604</v>
      </c>
    </row>
    <row r="529" spans="1:9" x14ac:dyDescent="0.2">
      <c r="A529" s="1" t="s">
        <v>529</v>
      </c>
      <c r="B529" t="str">
        <f>HYPERLINK("https://www.suredividend.com/sure-analysis-research-database/","Deluxe Corp.")</f>
        <v>Deluxe Corp.</v>
      </c>
      <c r="C529">
        <v>3.8187282074908013E-2</v>
      </c>
      <c r="D529">
        <v>7.1353319682538011E-2</v>
      </c>
      <c r="E529">
        <v>2.7471787272406002E-2</v>
      </c>
      <c r="F529">
        <v>-6.2003330053734013E-2</v>
      </c>
      <c r="G529">
        <v>0.10713468184533601</v>
      </c>
      <c r="H529">
        <v>-0.32230614128020202</v>
      </c>
      <c r="I529">
        <v>-0.49630675756682802</v>
      </c>
    </row>
    <row r="530" spans="1:9" x14ac:dyDescent="0.2">
      <c r="A530" s="1" t="s">
        <v>530</v>
      </c>
      <c r="B530" t="str">
        <f>HYPERLINK("https://www.suredividend.com/sure-analysis-research-database/","Desktop Metal Inc")</f>
        <v>Desktop Metal Inc</v>
      </c>
      <c r="C530">
        <v>-0.25869565217391299</v>
      </c>
      <c r="D530">
        <v>-0.33502340093603711</v>
      </c>
      <c r="E530">
        <v>-0.67830188679245207</v>
      </c>
      <c r="F530">
        <v>-0.31890812250332901</v>
      </c>
      <c r="G530">
        <v>-0.71264044943820204</v>
      </c>
      <c r="H530">
        <v>-0.86918158567774906</v>
      </c>
      <c r="I530">
        <v>-0.9700702165008771</v>
      </c>
    </row>
    <row r="531" spans="1:9" x14ac:dyDescent="0.2">
      <c r="A531" s="1" t="s">
        <v>531</v>
      </c>
      <c r="B531" t="str">
        <f>HYPERLINK("https://www.suredividend.com/sure-analysis-research-database/","Digimarc Corporation")</f>
        <v>Digimarc Corporation</v>
      </c>
      <c r="C531">
        <v>3.1007751937984E-2</v>
      </c>
      <c r="D531">
        <v>0.15652173913043399</v>
      </c>
      <c r="E531">
        <v>0.14584615384615299</v>
      </c>
      <c r="F531">
        <v>3.1007751937984E-2</v>
      </c>
      <c r="G531">
        <v>0.650709219858156</v>
      </c>
      <c r="H531">
        <v>0.25853328827306499</v>
      </c>
      <c r="I531">
        <v>0.51690427698574304</v>
      </c>
    </row>
    <row r="532" spans="1:9" x14ac:dyDescent="0.2">
      <c r="A532" s="1" t="s">
        <v>532</v>
      </c>
      <c r="B532" t="str">
        <f>HYPERLINK("https://www.suredividend.com/sure-analysis-research-database/","Denali Therapeutics Inc")</f>
        <v>Denali Therapeutics Inc</v>
      </c>
      <c r="C532">
        <v>-3.2182562902281997E-2</v>
      </c>
      <c r="D532">
        <v>-0.13809275664408499</v>
      </c>
      <c r="E532">
        <v>-0.26749335695305498</v>
      </c>
      <c r="F532">
        <v>-0.22926374650512499</v>
      </c>
      <c r="G532">
        <v>-0.45806028833551699</v>
      </c>
      <c r="H532">
        <v>-0.49232658072437002</v>
      </c>
      <c r="I532">
        <v>-0.21425178147268401</v>
      </c>
    </row>
    <row r="533" spans="1:9" x14ac:dyDescent="0.2">
      <c r="A533" s="1" t="s">
        <v>533</v>
      </c>
      <c r="B533" t="str">
        <f>HYPERLINK("https://www.suredividend.com/sure-analysis-research-database/","Danimer Scientific Inc")</f>
        <v>Danimer Scientific Inc</v>
      </c>
      <c r="C533">
        <v>0.37996087199552803</v>
      </c>
      <c r="D533">
        <v>-0.234496124031007</v>
      </c>
      <c r="E533">
        <v>-0.52063106796116509</v>
      </c>
      <c r="F533">
        <v>-3.1862745098039012E-2</v>
      </c>
      <c r="G533">
        <v>-0.55316742081447901</v>
      </c>
      <c r="H533">
        <v>-0.73092643051771111</v>
      </c>
      <c r="I533">
        <v>-0.89766839378238306</v>
      </c>
    </row>
    <row r="534" spans="1:9" x14ac:dyDescent="0.2">
      <c r="A534" s="1" t="s">
        <v>534</v>
      </c>
      <c r="B534" t="str">
        <f>HYPERLINK("https://www.suredividend.com/sure-analysis-research-database/","Dnow Inc")</f>
        <v>Dnow Inc</v>
      </c>
      <c r="C534">
        <v>0.31464174454828597</v>
      </c>
      <c r="D534">
        <v>0.21730769230769201</v>
      </c>
      <c r="E534">
        <v>0.12934879571810801</v>
      </c>
      <c r="F534">
        <v>0.118374558303886</v>
      </c>
      <c r="G534">
        <v>-2.6153846153846E-2</v>
      </c>
      <c r="H534">
        <v>0.30650154798761597</v>
      </c>
      <c r="I534">
        <v>-0.20176544766708601</v>
      </c>
    </row>
    <row r="535" spans="1:9" x14ac:dyDescent="0.2">
      <c r="A535" s="1" t="s">
        <v>535</v>
      </c>
      <c r="B535" t="str">
        <f>HYPERLINK("https://www.suredividend.com/sure-analysis-research-database/","Krispy Kreme Inc")</f>
        <v>Krispy Kreme Inc</v>
      </c>
      <c r="C535">
        <v>-4.5950719518197E-2</v>
      </c>
      <c r="D535">
        <v>2.6695644722798999E-2</v>
      </c>
      <c r="E535">
        <v>2.1167136703132999E-2</v>
      </c>
      <c r="F535">
        <v>-0.12435140216719701</v>
      </c>
      <c r="G535">
        <v>2.0273879285652999E-2</v>
      </c>
      <c r="H535">
        <v>-1.6520662020386E-2</v>
      </c>
      <c r="I535">
        <v>-0.35325580254183198</v>
      </c>
    </row>
    <row r="536" spans="1:9" x14ac:dyDescent="0.2">
      <c r="A536" s="1" t="s">
        <v>536</v>
      </c>
      <c r="B536" t="str">
        <f>HYPERLINK("https://www.suredividend.com/sure-analysis-research-database/","Diamond Offshore Drilling, Inc.")</f>
        <v>Diamond Offshore Drilling, Inc.</v>
      </c>
      <c r="C536">
        <v>-6.9410815173526999E-2</v>
      </c>
      <c r="D536">
        <v>-5.8006535947711997E-2</v>
      </c>
      <c r="E536">
        <v>-0.27711598746081501</v>
      </c>
      <c r="F536">
        <v>-0.11307692307692301</v>
      </c>
      <c r="G536">
        <v>-5.9543230016313002E-2</v>
      </c>
      <c r="H536">
        <v>11.28687127024723</v>
      </c>
      <c r="I536">
        <v>6.9573283858998011E-2</v>
      </c>
    </row>
    <row r="537" spans="1:9" x14ac:dyDescent="0.2">
      <c r="A537" s="1" t="s">
        <v>537</v>
      </c>
      <c r="B537" t="str">
        <f>HYPERLINK("https://www.suredividend.com/sure-analysis-DOC/","Physicians Realty Trust")</f>
        <v>Physicians Realty Trust</v>
      </c>
      <c r="C537">
        <v>-0.130934150076569</v>
      </c>
      <c r="D537">
        <v>3.5839120951328997E-2</v>
      </c>
      <c r="E537">
        <v>-0.13697401037151899</v>
      </c>
      <c r="F537">
        <v>-0.132262996941896</v>
      </c>
      <c r="G537">
        <v>-0.22476384325886001</v>
      </c>
      <c r="H537">
        <v>-0.25103271700254698</v>
      </c>
      <c r="I537">
        <v>-0.18682877551459001</v>
      </c>
    </row>
    <row r="538" spans="1:9" x14ac:dyDescent="0.2">
      <c r="A538" s="1" t="s">
        <v>538</v>
      </c>
      <c r="B538" t="str">
        <f>HYPERLINK("https://www.suredividend.com/sure-analysis-research-database/","DigitalOcean Holdings Inc")</f>
        <v>DigitalOcean Holdings Inc</v>
      </c>
      <c r="C538">
        <v>6.7512983266012003E-2</v>
      </c>
      <c r="D538">
        <v>0.294158796782091</v>
      </c>
      <c r="E538">
        <v>0.13080684596577</v>
      </c>
      <c r="F538">
        <v>8.44916871082E-3</v>
      </c>
      <c r="G538">
        <v>4.7268610246249003E-2</v>
      </c>
      <c r="H538">
        <v>-0.28955453149001498</v>
      </c>
      <c r="I538">
        <v>-0.129411764705882</v>
      </c>
    </row>
    <row r="539" spans="1:9" x14ac:dyDescent="0.2">
      <c r="A539" s="1" t="s">
        <v>539</v>
      </c>
      <c r="B539" t="str">
        <f>HYPERLINK("https://www.suredividend.com/sure-analysis-research-database/","Dole plc")</f>
        <v>Dole plc</v>
      </c>
      <c r="C539">
        <v>-4.8359240069084007E-2</v>
      </c>
      <c r="D539">
        <v>-4.2563358500073013E-2</v>
      </c>
      <c r="E539">
        <v>-0.106723084156088</v>
      </c>
      <c r="F539">
        <v>-0.1033360455655</v>
      </c>
      <c r="G539">
        <v>-1.1499614287508E-2</v>
      </c>
      <c r="H539">
        <v>-0.222009643691712</v>
      </c>
      <c r="I539">
        <v>-0.18964033855679499</v>
      </c>
    </row>
    <row r="540" spans="1:9" x14ac:dyDescent="0.2">
      <c r="A540" s="1" t="s">
        <v>540</v>
      </c>
      <c r="B540" t="str">
        <f>HYPERLINK("https://www.suredividend.com/sure-analysis-research-database/","Domo Inc.")</f>
        <v>Domo Inc.</v>
      </c>
      <c r="C540">
        <v>0.164054336468129</v>
      </c>
      <c r="D540">
        <v>0.199138858988159</v>
      </c>
      <c r="E540">
        <v>-0.34758418740849101</v>
      </c>
      <c r="F540">
        <v>8.260447035957201E-2</v>
      </c>
      <c r="G540">
        <v>-0.26565589980224102</v>
      </c>
      <c r="H540">
        <v>-0.736018957345971</v>
      </c>
      <c r="I540">
        <v>-0.66835367668949008</v>
      </c>
    </row>
    <row r="541" spans="1:9" x14ac:dyDescent="0.2">
      <c r="A541" s="1" t="s">
        <v>541</v>
      </c>
      <c r="B541" t="str">
        <f>HYPERLINK("https://www.suredividend.com/sure-analysis-research-database/","Masonite International Corp")</f>
        <v>Masonite International Corp</v>
      </c>
      <c r="C541">
        <v>0.40378583017847403</v>
      </c>
      <c r="D541">
        <v>0.48881495927497998</v>
      </c>
      <c r="E541">
        <v>0.25634075508228399</v>
      </c>
      <c r="F541">
        <v>0.53295535081502399</v>
      </c>
      <c r="G541">
        <v>0.50277906438165809</v>
      </c>
      <c r="H541">
        <v>0.323475423210279</v>
      </c>
      <c r="I541">
        <v>1.2748466257668709</v>
      </c>
    </row>
    <row r="542" spans="1:9" x14ac:dyDescent="0.2">
      <c r="A542" s="1" t="s">
        <v>542</v>
      </c>
      <c r="B542" t="str">
        <f>HYPERLINK("https://www.suredividend.com/sure-analysis-research-database/","Dorman Products Inc")</f>
        <v>Dorman Products Inc</v>
      </c>
      <c r="C542">
        <v>-9.7584776774800011E-4</v>
      </c>
      <c r="D542">
        <v>0.13497782705099701</v>
      </c>
      <c r="E542">
        <v>-3.0432136335969999E-3</v>
      </c>
      <c r="F542">
        <v>-1.8103344922670999E-2</v>
      </c>
      <c r="G542">
        <v>-0.15453700836172099</v>
      </c>
      <c r="H542">
        <v>-0.122656668452062</v>
      </c>
      <c r="I542">
        <v>-8.8987764182424003E-2</v>
      </c>
    </row>
    <row r="543" spans="1:9" x14ac:dyDescent="0.2">
      <c r="A543" s="1" t="s">
        <v>543</v>
      </c>
      <c r="B543" t="str">
        <f>HYPERLINK("https://www.suredividend.com/sure-analysis-research-database/","Douglas Elliman Inc")</f>
        <v>Douglas Elliman Inc</v>
      </c>
      <c r="C543">
        <v>-0.12556053811659099</v>
      </c>
      <c r="D543">
        <v>0.13372093023255799</v>
      </c>
      <c r="E543">
        <v>-4.4117647058822998E-2</v>
      </c>
      <c r="F543">
        <v>-0.338983050847457</v>
      </c>
      <c r="G543">
        <v>-0.587798845836768</v>
      </c>
      <c r="H543">
        <v>-0.681429808367777</v>
      </c>
      <c r="I543">
        <v>-0.81162878312193909</v>
      </c>
    </row>
    <row r="544" spans="1:9" x14ac:dyDescent="0.2">
      <c r="A544" s="1" t="s">
        <v>544</v>
      </c>
      <c r="B544" t="str">
        <f>HYPERLINK("https://www.suredividend.com/sure-analysis-research-database/","Diamondrock Hospitality Co.")</f>
        <v>Diamondrock Hospitality Co.</v>
      </c>
      <c r="C544">
        <v>-4.3523316062176007E-2</v>
      </c>
      <c r="D544">
        <v>0.103565365025467</v>
      </c>
      <c r="E544">
        <v>0.182423776582116</v>
      </c>
      <c r="F544">
        <v>-1.7039403620873E-2</v>
      </c>
      <c r="G544">
        <v>6.0736654599780997E-2</v>
      </c>
      <c r="H544">
        <v>-3.4932717140138E-2</v>
      </c>
      <c r="I544">
        <v>-9.0335678946642003E-2</v>
      </c>
    </row>
    <row r="545" spans="1:9" x14ac:dyDescent="0.2">
      <c r="A545" s="1" t="s">
        <v>545</v>
      </c>
      <c r="B545" t="str">
        <f>HYPERLINK("https://www.suredividend.com/sure-analysis-research-database/","Dril-Quip, Inc.")</f>
        <v>Dril-Quip, Inc.</v>
      </c>
      <c r="C545">
        <v>-3.7914691943120001E-3</v>
      </c>
      <c r="D545">
        <v>-8.3296990841692009E-2</v>
      </c>
      <c r="E545">
        <v>-0.25195729537366501</v>
      </c>
      <c r="F545">
        <v>-9.6691018478727006E-2</v>
      </c>
      <c r="G545">
        <v>-0.29415715245130902</v>
      </c>
      <c r="H545">
        <v>-0.15852682145716501</v>
      </c>
      <c r="I545">
        <v>-0.45894465894465802</v>
      </c>
    </row>
    <row r="546" spans="1:9" x14ac:dyDescent="0.2">
      <c r="A546" s="1" t="s">
        <v>546</v>
      </c>
      <c r="B546" t="str">
        <f>HYPERLINK("https://www.suredividend.com/sure-analysis-research-database/","Leonardo DRS Inc.")</f>
        <v>Leonardo DRS Inc.</v>
      </c>
      <c r="C546">
        <v>9.7484276729559005E-2</v>
      </c>
      <c r="D546">
        <v>8.7792207792207005E-2</v>
      </c>
      <c r="E546">
        <v>0.28466257668711598</v>
      </c>
      <c r="F546">
        <v>4.4910179640718001E-2</v>
      </c>
      <c r="G546">
        <v>0.59118541033434602</v>
      </c>
      <c r="H546">
        <v>0.90536851683348507</v>
      </c>
      <c r="I546">
        <v>0.90536851683348507</v>
      </c>
    </row>
    <row r="547" spans="1:9" x14ac:dyDescent="0.2">
      <c r="A547" s="1" t="s">
        <v>547</v>
      </c>
      <c r="B547" t="str">
        <f>HYPERLINK("https://www.suredividend.com/sure-analysis-research-database/","Design Therapeutics Inc")</f>
        <v>Design Therapeutics Inc</v>
      </c>
      <c r="C547">
        <v>0.13247863247863201</v>
      </c>
      <c r="D547">
        <v>0.18834080717488699</v>
      </c>
      <c r="E547">
        <v>0.26794258373205698</v>
      </c>
      <c r="F547">
        <v>0</v>
      </c>
      <c r="G547">
        <v>-0.652914210870988</v>
      </c>
      <c r="H547">
        <v>-0.80811006517016604</v>
      </c>
      <c r="I547">
        <v>-0.93612918775608511</v>
      </c>
    </row>
    <row r="548" spans="1:9" x14ac:dyDescent="0.2">
      <c r="A548" s="1" t="s">
        <v>548</v>
      </c>
      <c r="B548" t="str">
        <f>HYPERLINK("https://www.suredividend.com/sure-analysis-research-database/","Distribution Solutions Group Inc")</f>
        <v>Distribution Solutions Group Inc</v>
      </c>
      <c r="C548">
        <v>4.4814340588988012E-2</v>
      </c>
      <c r="D548">
        <v>0.233560090702947</v>
      </c>
      <c r="E548">
        <v>0.29781312127236498</v>
      </c>
      <c r="F548">
        <v>3.4220532319390998E-2</v>
      </c>
      <c r="G548">
        <v>0.40361137510051898</v>
      </c>
      <c r="H548">
        <v>-0.25615314494074698</v>
      </c>
      <c r="I548">
        <v>0.11819116135662799</v>
      </c>
    </row>
    <row r="549" spans="1:9" x14ac:dyDescent="0.2">
      <c r="A549" s="1" t="s">
        <v>549</v>
      </c>
      <c r="B549" t="str">
        <f>HYPERLINK("https://www.suredividend.com/sure-analysis-research-database/","Daseke Inc")</f>
        <v>Daseke Inc</v>
      </c>
      <c r="C549">
        <v>1.3563501849568E-2</v>
      </c>
      <c r="D549">
        <v>0.86818181818181805</v>
      </c>
      <c r="E549">
        <v>0.53932584269662909</v>
      </c>
      <c r="F549">
        <v>1.4814814814814E-2</v>
      </c>
      <c r="G549">
        <v>-2.7218934911241999E-2</v>
      </c>
      <c r="H549">
        <v>-0.27704485488126601</v>
      </c>
      <c r="I549">
        <v>0.69484536082474202</v>
      </c>
    </row>
    <row r="550" spans="1:9" x14ac:dyDescent="0.2">
      <c r="A550" s="1" t="s">
        <v>550</v>
      </c>
      <c r="B550" t="str">
        <f>HYPERLINK("https://www.suredividend.com/sure-analysis-research-database/","Viant Technology Inc")</f>
        <v>Viant Technology Inc</v>
      </c>
      <c r="C550">
        <v>-2.5029797377829999E-2</v>
      </c>
      <c r="D550">
        <v>0.43508771929824502</v>
      </c>
      <c r="E550">
        <v>0.36560934891485802</v>
      </c>
      <c r="F550">
        <v>0.18722786647314901</v>
      </c>
      <c r="G550">
        <v>0.79385964912280704</v>
      </c>
      <c r="H550">
        <v>4.7375160051216003E-2</v>
      </c>
      <c r="I550">
        <v>-0.82858340318524704</v>
      </c>
    </row>
    <row r="551" spans="1:9" x14ac:dyDescent="0.2">
      <c r="A551" s="1" t="s">
        <v>551</v>
      </c>
      <c r="B551" t="str">
        <f>HYPERLINK("https://www.suredividend.com/sure-analysis-research-database/","Solo Brands Inc")</f>
        <v>Solo Brands Inc</v>
      </c>
      <c r="C551">
        <v>-0.14006514657980401</v>
      </c>
      <c r="D551">
        <v>-0.50188679245283008</v>
      </c>
      <c r="E551">
        <v>-0.57556270096463003</v>
      </c>
      <c r="F551">
        <v>-0.57142857142857106</v>
      </c>
      <c r="G551">
        <v>-0.35922330097087302</v>
      </c>
      <c r="H551">
        <v>-0.73061224489795906</v>
      </c>
      <c r="I551">
        <v>-0.85008517887563806</v>
      </c>
    </row>
    <row r="552" spans="1:9" x14ac:dyDescent="0.2">
      <c r="A552" s="1" t="s">
        <v>552</v>
      </c>
      <c r="B552" t="str">
        <f>HYPERLINK("https://www.suredividend.com/sure-analysis-research-database/","Duolingo Inc")</f>
        <v>Duolingo Inc</v>
      </c>
      <c r="C552">
        <v>-7.4871531346351008E-2</v>
      </c>
      <c r="D552">
        <v>-0.16810683424980299</v>
      </c>
      <c r="E552">
        <v>0.45302663438256602</v>
      </c>
      <c r="F552">
        <v>-0.20639188891337801</v>
      </c>
      <c r="G552">
        <v>0.97098751915918513</v>
      </c>
      <c r="H552">
        <v>0.97835164835164812</v>
      </c>
      <c r="I552">
        <v>0.29508668441119301</v>
      </c>
    </row>
    <row r="553" spans="1:9" x14ac:dyDescent="0.2">
      <c r="A553" s="1" t="s">
        <v>553</v>
      </c>
      <c r="B553" t="str">
        <f>HYPERLINK("https://www.suredividend.com/sure-analysis-research-database/","Dynavax Technologies Corp.")</f>
        <v>Dynavax Technologies Corp.</v>
      </c>
      <c r="C553">
        <v>-0.119713261648745</v>
      </c>
      <c r="D553">
        <v>-0.10233918128654899</v>
      </c>
      <c r="E553">
        <v>-0.15193370165745801</v>
      </c>
      <c r="F553">
        <v>-0.12160228898426299</v>
      </c>
      <c r="G553">
        <v>0.106306306306306</v>
      </c>
      <c r="H553">
        <v>-4.8622366288489996E-3</v>
      </c>
      <c r="I553">
        <v>0.117379435850773</v>
      </c>
    </row>
    <row r="554" spans="1:9" x14ac:dyDescent="0.2">
      <c r="A554" s="1" t="s">
        <v>554</v>
      </c>
      <c r="B554" t="str">
        <f>HYPERLINK("https://www.suredividend.com/sure-analysis-DX/","Dynex Capital, Inc.")</f>
        <v>Dynex Capital, Inc.</v>
      </c>
      <c r="C554">
        <v>-1.2E-2</v>
      </c>
      <c r="D554">
        <v>0.118760757314974</v>
      </c>
      <c r="E554">
        <v>7.3203795752372E-2</v>
      </c>
      <c r="F554">
        <v>-3.3168968049640001E-3</v>
      </c>
      <c r="G554">
        <v>1.0051443105887001E-2</v>
      </c>
      <c r="H554">
        <v>-3.6037372089574013E-2</v>
      </c>
      <c r="I554">
        <v>0.16809170702179099</v>
      </c>
    </row>
    <row r="555" spans="1:9" x14ac:dyDescent="0.2">
      <c r="A555" s="1" t="s">
        <v>555</v>
      </c>
      <c r="B555" t="str">
        <f>HYPERLINK("https://www.suredividend.com/sure-analysis-research-database/","Destination XL Group Inc")</f>
        <v>Destination XL Group Inc</v>
      </c>
      <c r="C555">
        <v>-5.3398058252427001E-2</v>
      </c>
      <c r="D555">
        <v>-6.25E-2</v>
      </c>
      <c r="E555">
        <v>-0.121621621621621</v>
      </c>
      <c r="F555">
        <v>-0.11363636363636299</v>
      </c>
      <c r="G555">
        <v>-0.37299035369774902</v>
      </c>
      <c r="H555">
        <v>-8.8785046728972E-2</v>
      </c>
      <c r="I555">
        <v>0.5234375</v>
      </c>
    </row>
    <row r="556" spans="1:9" x14ac:dyDescent="0.2">
      <c r="A556" s="1" t="s">
        <v>556</v>
      </c>
      <c r="B556" t="str">
        <f>HYPERLINK("https://www.suredividend.com/sure-analysis-research-database/","DXP Enterprises, Inc.")</f>
        <v>DXP Enterprises, Inc.</v>
      </c>
      <c r="C556">
        <v>9.1140854047163003E-2</v>
      </c>
      <c r="D556">
        <v>9.0793246256769003E-2</v>
      </c>
      <c r="E556">
        <v>8.769365682540001E-4</v>
      </c>
      <c r="F556">
        <v>1.6023738872403E-2</v>
      </c>
      <c r="G556">
        <v>0.14476763624205899</v>
      </c>
      <c r="H556">
        <v>0.18600623484586001</v>
      </c>
      <c r="I556">
        <v>-5.7268722466960013E-2</v>
      </c>
    </row>
    <row r="557" spans="1:9" x14ac:dyDescent="0.2">
      <c r="A557" s="1" t="s">
        <v>557</v>
      </c>
      <c r="B557" t="str">
        <f>HYPERLINK("https://www.suredividend.com/sure-analysis-research-database/","Dycom Industries, Inc.")</f>
        <v>Dycom Industries, Inc.</v>
      </c>
      <c r="C557">
        <v>1.0095689579491999E-2</v>
      </c>
      <c r="D557">
        <v>0.327870744373917</v>
      </c>
      <c r="E557">
        <v>0.22222222222222199</v>
      </c>
      <c r="F557">
        <v>-2.60665566078E-4</v>
      </c>
      <c r="G557">
        <v>0.38726790450928411</v>
      </c>
      <c r="H557">
        <v>0.25283101045296102</v>
      </c>
      <c r="I557">
        <v>0.80713051672687308</v>
      </c>
    </row>
    <row r="558" spans="1:9" x14ac:dyDescent="0.2">
      <c r="A558" s="1" t="s">
        <v>558</v>
      </c>
      <c r="B558" t="str">
        <f>HYPERLINK("https://www.suredividend.com/sure-analysis-research-database/","Dyne Therapeutics Inc")</f>
        <v>Dyne Therapeutics Inc</v>
      </c>
      <c r="C558">
        <v>0.45582586427656802</v>
      </c>
      <c r="D558">
        <v>1.135211267605633</v>
      </c>
      <c r="E558">
        <v>1.218536585365853</v>
      </c>
      <c r="F558">
        <v>0.70977443609022506</v>
      </c>
      <c r="G558">
        <v>0.72665148063781304</v>
      </c>
      <c r="H558">
        <v>1.817843866171003</v>
      </c>
      <c r="I558">
        <v>-4.8535564853556007E-2</v>
      </c>
    </row>
    <row r="559" spans="1:9" x14ac:dyDescent="0.2">
      <c r="A559" s="1" t="s">
        <v>559</v>
      </c>
      <c r="B559" t="str">
        <f>HYPERLINK("https://www.suredividend.com/sure-analysis-research-database/","DZS Inc")</f>
        <v>DZS Inc</v>
      </c>
      <c r="C559">
        <v>-0.101796407185628</v>
      </c>
      <c r="D559">
        <v>6.7114093959730007E-3</v>
      </c>
      <c r="E559">
        <v>-0.33333333333333298</v>
      </c>
      <c r="F559">
        <v>-0.23857868020304501</v>
      </c>
      <c r="G559">
        <v>-0.83818770226537209</v>
      </c>
      <c r="H559">
        <v>-0.90259740259740207</v>
      </c>
      <c r="I559">
        <v>-0.88994864269992602</v>
      </c>
    </row>
    <row r="560" spans="1:9" x14ac:dyDescent="0.2">
      <c r="A560" s="1" t="s">
        <v>560</v>
      </c>
      <c r="B560" t="str">
        <f>HYPERLINK("https://www.suredividend.com/sure-analysis-research-database/","GrafTech International Ltd.")</f>
        <v>GrafTech International Ltd.</v>
      </c>
      <c r="C560">
        <v>-0.10666666666666599</v>
      </c>
      <c r="D560">
        <v>-0.46400000000000002</v>
      </c>
      <c r="E560">
        <v>-0.65641025641025608</v>
      </c>
      <c r="F560">
        <v>-0.38812785388127802</v>
      </c>
      <c r="G560">
        <v>-0.76449084326338301</v>
      </c>
      <c r="H560">
        <v>-0.85802828839328205</v>
      </c>
      <c r="I560">
        <v>-0.90238145539051007</v>
      </c>
    </row>
    <row r="561" spans="1:9" x14ac:dyDescent="0.2">
      <c r="A561" s="1" t="s">
        <v>561</v>
      </c>
      <c r="B561" t="str">
        <f>HYPERLINK("https://www.suredividend.com/sure-analysis-research-database/","Brinker International, Inc.")</f>
        <v>Brinker International, Inc.</v>
      </c>
      <c r="C561">
        <v>0.16302391360246801</v>
      </c>
      <c r="D561">
        <v>0.24600550964187301</v>
      </c>
      <c r="E561">
        <v>0.32561547479484099</v>
      </c>
      <c r="F561">
        <v>4.7475683186659998E-2</v>
      </c>
      <c r="G561">
        <v>0.147969543147208</v>
      </c>
      <c r="H561">
        <v>5.5542590431738002E-2</v>
      </c>
      <c r="I561">
        <v>8.7285752061347005E-2</v>
      </c>
    </row>
    <row r="562" spans="1:9" x14ac:dyDescent="0.2">
      <c r="A562" s="1" t="s">
        <v>562</v>
      </c>
      <c r="B562" t="str">
        <f>HYPERLINK("https://www.suredividend.com/sure-analysis-research-database/","Eventbrite Inc")</f>
        <v>Eventbrite Inc</v>
      </c>
      <c r="C562">
        <v>0.120667522464698</v>
      </c>
      <c r="D562">
        <v>0.24536376604850199</v>
      </c>
      <c r="E562">
        <v>-0.15160349854227301</v>
      </c>
      <c r="F562">
        <v>4.4258373205740997E-2</v>
      </c>
      <c r="G562">
        <v>5.5622732769044003E-2</v>
      </c>
      <c r="H562">
        <v>-0.40773405698778797</v>
      </c>
      <c r="I562">
        <v>-0.71377049180327801</v>
      </c>
    </row>
    <row r="563" spans="1:9" x14ac:dyDescent="0.2">
      <c r="A563" s="1" t="s">
        <v>563</v>
      </c>
      <c r="B563" t="str">
        <f>HYPERLINK("https://www.suredividend.com/sure-analysis-research-database/","Eastern Bankshares Inc.")</f>
        <v>Eastern Bankshares Inc.</v>
      </c>
      <c r="C563">
        <v>-1.6702977487291E-2</v>
      </c>
      <c r="D563">
        <v>0.10656173127058401</v>
      </c>
      <c r="E563">
        <v>3.6523283497538001E-2</v>
      </c>
      <c r="F563">
        <v>-4.6478873239436003E-2</v>
      </c>
      <c r="G563">
        <v>-8.7398141096065002E-2</v>
      </c>
      <c r="H563">
        <v>-0.32129645409979002</v>
      </c>
      <c r="I563">
        <v>0.35671342685370699</v>
      </c>
    </row>
    <row r="564" spans="1:9" x14ac:dyDescent="0.2">
      <c r="A564" s="1" t="s">
        <v>564</v>
      </c>
      <c r="B564" t="str">
        <f>HYPERLINK("https://www.suredividend.com/sure-analysis-EBF/","Ennis Inc.")</f>
        <v>Ennis Inc.</v>
      </c>
      <c r="C564">
        <v>-1.4792899408280001E-3</v>
      </c>
      <c r="D564">
        <v>-5.6616958533073997E-2</v>
      </c>
      <c r="E564">
        <v>-3.5236498075237002E-2</v>
      </c>
      <c r="F564">
        <v>-6.5226422933111011E-2</v>
      </c>
      <c r="G564">
        <v>-2.018183489701E-2</v>
      </c>
      <c r="H564">
        <v>0.15735448767774601</v>
      </c>
      <c r="I564">
        <v>0.20837808807733599</v>
      </c>
    </row>
    <row r="565" spans="1:9" x14ac:dyDescent="0.2">
      <c r="A565" s="1" t="s">
        <v>565</v>
      </c>
      <c r="B565" t="str">
        <f>HYPERLINK("https://www.suredividend.com/sure-analysis-research-database/","Emergent Biosolutions Inc")</f>
        <v>Emergent Biosolutions Inc</v>
      </c>
      <c r="C565">
        <v>-0.16939890710382499</v>
      </c>
      <c r="D565">
        <v>-0.27619047619047599</v>
      </c>
      <c r="E565">
        <v>-0.69416498993963704</v>
      </c>
      <c r="F565">
        <v>-0.36666666666666597</v>
      </c>
      <c r="G565">
        <v>-0.90669122160834803</v>
      </c>
      <c r="H565">
        <v>-0.96365375418460009</v>
      </c>
      <c r="I565">
        <v>-0.97666922486569407</v>
      </c>
    </row>
    <row r="566" spans="1:9" x14ac:dyDescent="0.2">
      <c r="A566" s="1" t="s">
        <v>566</v>
      </c>
      <c r="B566" t="str">
        <f>HYPERLINK("https://www.suredividend.com/sure-analysis-EBTC/","Enterprise Bancorp, Inc.")</f>
        <v>Enterprise Bancorp, Inc.</v>
      </c>
      <c r="C566">
        <v>-5.1938786929274013E-2</v>
      </c>
      <c r="D566">
        <v>-1.840942562592E-3</v>
      </c>
      <c r="E566">
        <v>-6.619959423944001E-2</v>
      </c>
      <c r="F566">
        <v>-0.14509969632276101</v>
      </c>
      <c r="G566">
        <v>-0.184472795203701</v>
      </c>
      <c r="H566">
        <v>-0.25294372139292498</v>
      </c>
      <c r="I566">
        <v>2.6007841712460001E-2</v>
      </c>
    </row>
    <row r="567" spans="1:9" x14ac:dyDescent="0.2">
      <c r="A567" s="1" t="s">
        <v>567</v>
      </c>
      <c r="B567" t="str">
        <f>HYPERLINK("https://www.suredividend.com/sure-analysis-research-database/","Encore Capital Group, Inc.")</f>
        <v>Encore Capital Group, Inc.</v>
      </c>
      <c r="C567">
        <v>5.3349140486069001E-2</v>
      </c>
      <c r="D567">
        <v>0.20720108695652101</v>
      </c>
      <c r="E567">
        <v>0.12302506846429299</v>
      </c>
      <c r="F567">
        <v>5.0443349753694001E-2</v>
      </c>
      <c r="G567">
        <v>-7.3191933240612003E-2</v>
      </c>
      <c r="H567">
        <v>-0.25596650383810099</v>
      </c>
      <c r="I567">
        <v>0.61888855147282107</v>
      </c>
    </row>
    <row r="568" spans="1:9" x14ac:dyDescent="0.2">
      <c r="A568" s="1" t="s">
        <v>568</v>
      </c>
      <c r="B568" t="str">
        <f>HYPERLINK("https://www.suredividend.com/sure-analysis-research-database/","Ecovyst Inc")</f>
        <v>Ecovyst Inc</v>
      </c>
      <c r="C568">
        <v>0.102132435465768</v>
      </c>
      <c r="D568">
        <v>7.1794871794870008E-3</v>
      </c>
      <c r="E568">
        <v>4.0899795501020001E-3</v>
      </c>
      <c r="F568">
        <v>5.1177072671439996E-3</v>
      </c>
      <c r="G568">
        <v>-7.3584905660377009E-2</v>
      </c>
      <c r="H568">
        <v>-5.2123552123552012E-2</v>
      </c>
      <c r="I568">
        <v>-0.30128145834370901</v>
      </c>
    </row>
    <row r="569" spans="1:9" x14ac:dyDescent="0.2">
      <c r="A569" s="1" t="s">
        <v>569</v>
      </c>
      <c r="B569" t="str">
        <f>HYPERLINK("https://www.suredividend.com/sure-analysis-research-database/","Editas Medicine Inc")</f>
        <v>Editas Medicine Inc</v>
      </c>
      <c r="C569">
        <v>-1.7305315203955E-2</v>
      </c>
      <c r="D569">
        <v>-0.26660516605166001</v>
      </c>
      <c r="E569">
        <v>-8.1986143187066013E-2</v>
      </c>
      <c r="F569">
        <v>-0.21520236920039401</v>
      </c>
      <c r="G569">
        <v>-0.216748768472906</v>
      </c>
      <c r="H569">
        <v>-0.47697368421052599</v>
      </c>
      <c r="I569">
        <v>-0.613138686131386</v>
      </c>
    </row>
    <row r="570" spans="1:9" x14ac:dyDescent="0.2">
      <c r="A570" s="1" t="s">
        <v>570</v>
      </c>
      <c r="B570" t="str">
        <f>HYPERLINK("https://www.suredividend.com/sure-analysis-research-database/","Excelerate Energy Inc")</f>
        <v>Excelerate Energy Inc</v>
      </c>
      <c r="C570">
        <v>-8.2494969818913008E-2</v>
      </c>
      <c r="D570">
        <v>-0.24850855315923001</v>
      </c>
      <c r="E570">
        <v>-0.30473320153080602</v>
      </c>
      <c r="F570">
        <v>-0.115135834411384</v>
      </c>
      <c r="G570">
        <v>-0.360188575998653</v>
      </c>
      <c r="H570">
        <v>-0.48693522557222801</v>
      </c>
      <c r="I570">
        <v>-0.48693522557222801</v>
      </c>
    </row>
    <row r="571" spans="1:9" x14ac:dyDescent="0.2">
      <c r="A571" s="1" t="s">
        <v>571</v>
      </c>
      <c r="B571" t="str">
        <f>HYPERLINK("https://www.suredividend.com/sure-analysis-research-database/","Emerald Holding Inc")</f>
        <v>Emerald Holding Inc</v>
      </c>
      <c r="C571">
        <v>6.8403908794787999E-2</v>
      </c>
      <c r="D571">
        <v>0.192727272727272</v>
      </c>
      <c r="E571">
        <v>0.60000000000000009</v>
      </c>
      <c r="F571">
        <v>9.6989966555183008E-2</v>
      </c>
      <c r="G571">
        <v>0.73087071240105506</v>
      </c>
      <c r="H571">
        <v>1.0184615384615381</v>
      </c>
      <c r="I571">
        <v>-0.47829683001701812</v>
      </c>
    </row>
    <row r="572" spans="1:9" x14ac:dyDescent="0.2">
      <c r="A572" s="1" t="s">
        <v>572</v>
      </c>
      <c r="B572" t="str">
        <f>HYPERLINK("https://www.suredividend.com/sure-analysis-EFC/","Ellington Financial Inc")</f>
        <v>Ellington Financial Inc</v>
      </c>
      <c r="C572">
        <v>-6.2278560743248002E-2</v>
      </c>
      <c r="D572">
        <v>-5.3492382640206997E-2</v>
      </c>
      <c r="E572">
        <v>-5.1704407821640003E-3</v>
      </c>
      <c r="F572">
        <v>-5.1955391754957003E-2</v>
      </c>
      <c r="G572">
        <v>4.7041430059399999E-4</v>
      </c>
      <c r="H572">
        <v>-0.11610820438606199</v>
      </c>
      <c r="I572">
        <v>0.32226083287999702</v>
      </c>
    </row>
    <row r="573" spans="1:9" x14ac:dyDescent="0.2">
      <c r="A573" s="1" t="s">
        <v>573</v>
      </c>
      <c r="B573" t="str">
        <f>HYPERLINK("https://www.suredividend.com/sure-analysis-research-database/","Enterprise Financial Services Corp.")</f>
        <v>Enterprise Financial Services Corp.</v>
      </c>
      <c r="C573">
        <v>-6.2180974477958013E-2</v>
      </c>
      <c r="D573">
        <v>4.6870912683920997E-2</v>
      </c>
      <c r="E573">
        <v>3.4622216989100001E-2</v>
      </c>
      <c r="F573">
        <v>-9.4736842105263008E-2</v>
      </c>
      <c r="G573">
        <v>-0.243231301241497</v>
      </c>
      <c r="H573">
        <v>-0.14982941901504701</v>
      </c>
      <c r="I573">
        <v>-2.7558913040863001E-2</v>
      </c>
    </row>
    <row r="574" spans="1:9" x14ac:dyDescent="0.2">
      <c r="A574" s="1" t="s">
        <v>574</v>
      </c>
      <c r="B574" t="str">
        <f>HYPERLINK("https://www.suredividend.com/sure-analysis-research-database/","eGain Corp")</f>
        <v>eGain Corp</v>
      </c>
      <c r="C574">
        <v>-0.22763157894736799</v>
      </c>
      <c r="D574">
        <v>-0.21837549933422001</v>
      </c>
      <c r="E574">
        <v>-0.11195158850226899</v>
      </c>
      <c r="F574">
        <v>-0.29531812725090001</v>
      </c>
      <c r="G574">
        <v>-0.25977301387137403</v>
      </c>
      <c r="H574">
        <v>-0.50960735171261506</v>
      </c>
      <c r="I574">
        <v>-0.48553900087642399</v>
      </c>
    </row>
    <row r="575" spans="1:9" x14ac:dyDescent="0.2">
      <c r="A575" s="1" t="s">
        <v>575</v>
      </c>
      <c r="B575" t="str">
        <f>HYPERLINK("https://www.suredividend.com/sure-analysis-research-database/","Eagle Bancorp Inc (MD)")</f>
        <v>Eagle Bancorp Inc (MD)</v>
      </c>
      <c r="C575">
        <v>-0.117625503847563</v>
      </c>
      <c r="D575">
        <v>2.9623041663816001E-2</v>
      </c>
      <c r="E575">
        <v>5.4761758753909012E-2</v>
      </c>
      <c r="F575">
        <v>-0.175686870554083</v>
      </c>
      <c r="G575">
        <v>-0.40421846972227299</v>
      </c>
      <c r="H575">
        <v>-0.53062350274160308</v>
      </c>
      <c r="I575">
        <v>-0.49543735397961203</v>
      </c>
    </row>
    <row r="576" spans="1:9" x14ac:dyDescent="0.2">
      <c r="A576" s="1" t="s">
        <v>576</v>
      </c>
      <c r="B576" t="str">
        <f>HYPERLINK("https://www.suredividend.com/sure-analysis-research-database/","8X8 Inc.")</f>
        <v>8X8 Inc.</v>
      </c>
      <c r="C576">
        <v>-0.25862068965517199</v>
      </c>
      <c r="D576">
        <v>-0.18611987381703399</v>
      </c>
      <c r="E576">
        <v>-0.26285714285714201</v>
      </c>
      <c r="F576">
        <v>-0.317460317460317</v>
      </c>
      <c r="G576">
        <v>-0.57355371900826402</v>
      </c>
      <c r="H576">
        <v>-0.80320366132723109</v>
      </c>
      <c r="I576">
        <v>-0.86936708860759404</v>
      </c>
    </row>
    <row r="577" spans="1:9" x14ac:dyDescent="0.2">
      <c r="A577" s="1" t="s">
        <v>577</v>
      </c>
      <c r="B577" t="str">
        <f>HYPERLINK("https://www.suredividend.com/sure-analysis-research-database/","Eagle Bulk Shipping Inc")</f>
        <v>Eagle Bulk Shipping Inc</v>
      </c>
      <c r="C577">
        <v>1.6527424627677999E-2</v>
      </c>
      <c r="D577">
        <v>0.33103448275862002</v>
      </c>
      <c r="E577">
        <v>0.232805806103457</v>
      </c>
      <c r="F577">
        <v>1.0288808664259E-2</v>
      </c>
      <c r="G577">
        <v>6.2565172054220002E-3</v>
      </c>
      <c r="H577">
        <v>0.22420679186515999</v>
      </c>
      <c r="I577">
        <v>1.104467622707344</v>
      </c>
    </row>
    <row r="578" spans="1:9" x14ac:dyDescent="0.2">
      <c r="A578" s="1" t="s">
        <v>578</v>
      </c>
      <c r="B578" t="str">
        <f>HYPERLINK("https://www.suredividend.com/sure-analysis-research-database/","Eagle Pharmaceuticals Inc")</f>
        <v>Eagle Pharmaceuticals Inc</v>
      </c>
      <c r="C578">
        <v>0.33705357142857101</v>
      </c>
      <c r="D578">
        <v>-0.30990783410138201</v>
      </c>
      <c r="E578">
        <v>-0.65653669724770602</v>
      </c>
      <c r="F578">
        <v>0.14531548757170101</v>
      </c>
      <c r="G578">
        <v>-0.80551948051948008</v>
      </c>
      <c r="H578">
        <v>-0.87029016890428712</v>
      </c>
      <c r="I578">
        <v>-0.86188609637998603</v>
      </c>
    </row>
    <row r="579" spans="1:9" x14ac:dyDescent="0.2">
      <c r="A579" s="1" t="s">
        <v>579</v>
      </c>
      <c r="B579" t="str">
        <f>HYPERLINK("https://www.suredividend.com/sure-analysis-research-database/","VAALCO Energy, Inc.")</f>
        <v>VAALCO Energy, Inc.</v>
      </c>
      <c r="C579">
        <v>1.1792452830188E-2</v>
      </c>
      <c r="D579">
        <v>-6.8889178278421004E-2</v>
      </c>
      <c r="E579">
        <v>-9.8493285981465006E-2</v>
      </c>
      <c r="F579">
        <v>-4.4543429844097003E-2</v>
      </c>
      <c r="G579">
        <v>3.5556521109421001E-2</v>
      </c>
      <c r="H579">
        <v>-8.2097695615893002E-2</v>
      </c>
      <c r="I579">
        <v>0.88405797101449202</v>
      </c>
    </row>
    <row r="580" spans="1:9" x14ac:dyDescent="0.2">
      <c r="A580" s="1" t="s">
        <v>580</v>
      </c>
      <c r="B580" t="str">
        <f>HYPERLINK("https://www.suredividend.com/sure-analysis-research-database/","Enhabit Inc")</f>
        <v>Enhabit Inc</v>
      </c>
      <c r="C580">
        <v>-9.206660137120401E-2</v>
      </c>
      <c r="D580">
        <v>-7.3926073926073005E-2</v>
      </c>
      <c r="E580">
        <v>-0.19391304347825999</v>
      </c>
      <c r="F580">
        <v>-0.104347826086956</v>
      </c>
      <c r="G580">
        <v>-0.40766773162939202</v>
      </c>
      <c r="H580">
        <v>-0.62919999999999998</v>
      </c>
      <c r="I580">
        <v>-0.62919999999999998</v>
      </c>
    </row>
    <row r="581" spans="1:9" x14ac:dyDescent="0.2">
      <c r="A581" s="1" t="s">
        <v>581</v>
      </c>
      <c r="B581" t="str">
        <f>HYPERLINK("https://www.suredividend.com/sure-analysis-research-database/","eHealth Inc")</f>
        <v>eHealth Inc</v>
      </c>
      <c r="C581">
        <v>0.163333333333333</v>
      </c>
      <c r="D581">
        <v>-0.14250614250614199</v>
      </c>
      <c r="E581">
        <v>-9.7024579560155005E-2</v>
      </c>
      <c r="F581">
        <v>-0.199541284403669</v>
      </c>
      <c r="G581">
        <v>-0.24212812160694799</v>
      </c>
      <c r="H581">
        <v>-0.51994497936726203</v>
      </c>
      <c r="I581">
        <v>-0.8939532057125491</v>
      </c>
    </row>
    <row r="582" spans="1:9" x14ac:dyDescent="0.2">
      <c r="A582" s="1" t="s">
        <v>582</v>
      </c>
      <c r="B582" t="str">
        <f>HYPERLINK("https://www.suredividend.com/sure-analysis-research-database/","Employers Holdings Inc")</f>
        <v>Employers Holdings Inc</v>
      </c>
      <c r="C582">
        <v>9.9658036150464008E-2</v>
      </c>
      <c r="D582">
        <v>0.20277851990382001</v>
      </c>
      <c r="E582">
        <v>0.14742441195136</v>
      </c>
      <c r="F582">
        <v>0.14263959390862899</v>
      </c>
      <c r="G582">
        <v>6.2246460221490009E-3</v>
      </c>
      <c r="H582">
        <v>0.26402443818016402</v>
      </c>
      <c r="I582">
        <v>0.17314432385245701</v>
      </c>
    </row>
    <row r="583" spans="1:9" x14ac:dyDescent="0.2">
      <c r="A583" s="1" t="s">
        <v>583</v>
      </c>
      <c r="B583" t="str">
        <f>HYPERLINK("https://www.suredividend.com/sure-analysis-research-database/","Envela Corp")</f>
        <v>Envela Corp</v>
      </c>
      <c r="C583">
        <v>4.9295774647887002E-2</v>
      </c>
      <c r="D583">
        <v>7.9710144927536003E-2</v>
      </c>
      <c r="E583">
        <v>-0.19021739130434701</v>
      </c>
      <c r="F583">
        <v>-8.0246913580247006E-2</v>
      </c>
      <c r="G583">
        <v>-0.38934426229508201</v>
      </c>
      <c r="H583">
        <v>9.0243902439024012E-2</v>
      </c>
      <c r="I583">
        <v>9.6428571428571423</v>
      </c>
    </row>
    <row r="584" spans="1:9" x14ac:dyDescent="0.2">
      <c r="A584" s="1" t="s">
        <v>584</v>
      </c>
      <c r="B584" t="str">
        <f>HYPERLINK("https://www.suredividend.com/sure-analysis-research-database/","e.l.f. Beauty Inc")</f>
        <v>e.l.f. Beauty Inc</v>
      </c>
      <c r="C584">
        <v>8.6063755624564003E-2</v>
      </c>
      <c r="D584">
        <v>0.54206784846576006</v>
      </c>
      <c r="E584">
        <v>0.45179600135547199</v>
      </c>
      <c r="F584">
        <v>0.18726617708189</v>
      </c>
      <c r="G584">
        <v>1.3268160217243721</v>
      </c>
      <c r="H584">
        <v>5.4328078078078077</v>
      </c>
      <c r="I584">
        <v>16.92573221757322</v>
      </c>
    </row>
    <row r="585" spans="1:9" x14ac:dyDescent="0.2">
      <c r="A585" s="1" t="s">
        <v>585</v>
      </c>
      <c r="B585" t="str">
        <f>HYPERLINK("https://www.suredividend.com/sure-analysis-research-database/","Elme Communities")</f>
        <v>Elme Communities</v>
      </c>
      <c r="C585">
        <v>-6.7123287671232004E-2</v>
      </c>
      <c r="D585">
        <v>4.1411793491557998E-2</v>
      </c>
      <c r="E585">
        <v>-9.0702735903221005E-2</v>
      </c>
      <c r="F585">
        <v>-6.7123287671232004E-2</v>
      </c>
      <c r="G585">
        <v>-0.25274459995501097</v>
      </c>
      <c r="H585">
        <v>-0.40584989203219402</v>
      </c>
      <c r="I585">
        <v>-0.40781063853839611</v>
      </c>
    </row>
    <row r="586" spans="1:9" x14ac:dyDescent="0.2">
      <c r="A586" s="1" t="s">
        <v>586</v>
      </c>
      <c r="B586" t="str">
        <f>HYPERLINK("https://www.suredividend.com/sure-analysis-research-database/","Enliven Therapeutics Inc")</f>
        <v>Enliven Therapeutics Inc</v>
      </c>
      <c r="C586">
        <v>0.157931516422082</v>
      </c>
      <c r="D586">
        <v>0.57210626185958202</v>
      </c>
      <c r="E586">
        <v>1.4075887392899999E-2</v>
      </c>
      <c r="F586">
        <v>0.19725433526011499</v>
      </c>
      <c r="G586">
        <v>-0.21245247148288901</v>
      </c>
      <c r="H586">
        <v>1.8968531468531471</v>
      </c>
      <c r="I586">
        <v>-0.72383333333333311</v>
      </c>
    </row>
    <row r="587" spans="1:9" x14ac:dyDescent="0.2">
      <c r="A587" s="1" t="s">
        <v>587</v>
      </c>
      <c r="B587" t="str">
        <f>HYPERLINK("https://www.suredividend.com/sure-analysis-research-database/","Embecta Corp")</f>
        <v>Embecta Corp</v>
      </c>
      <c r="C587">
        <v>-0.15534554046071999</v>
      </c>
      <c r="D587">
        <v>-0.117087747894593</v>
      </c>
      <c r="E587">
        <v>-0.19416190020005</v>
      </c>
      <c r="F587">
        <v>-0.2445853143159</v>
      </c>
      <c r="G587">
        <v>-0.534721792915407</v>
      </c>
      <c r="H587">
        <v>-0.50916286525319299</v>
      </c>
      <c r="I587">
        <v>-0.50916286525319299</v>
      </c>
    </row>
    <row r="588" spans="1:9" x14ac:dyDescent="0.2">
      <c r="A588" s="1" t="s">
        <v>588</v>
      </c>
      <c r="B588" t="str">
        <f>HYPERLINK("https://www.suredividend.com/sure-analysis-research-database/","Enfusion Inc")</f>
        <v>Enfusion Inc</v>
      </c>
      <c r="C588">
        <v>5.3287981859410007E-2</v>
      </c>
      <c r="D588">
        <v>-5.3007135575943012E-2</v>
      </c>
      <c r="E588">
        <v>0.131546894031668</v>
      </c>
      <c r="F588">
        <v>-4.2268041237113002E-2</v>
      </c>
      <c r="G588">
        <v>-0.16456834532374001</v>
      </c>
      <c r="H588">
        <v>-0.40141752577319501</v>
      </c>
      <c r="I588">
        <v>-0.53104492680464399</v>
      </c>
    </row>
    <row r="589" spans="1:9" x14ac:dyDescent="0.2">
      <c r="A589" s="1" t="s">
        <v>589</v>
      </c>
      <c r="B589" t="str">
        <f>HYPERLINK("https://www.suredividend.com/sure-analysis-research-database/","Energizer Holdings Inc")</f>
        <v>Energizer Holdings Inc</v>
      </c>
      <c r="C589">
        <v>-4.5673390548379003E-2</v>
      </c>
      <c r="D589">
        <v>-2.8154043579140999E-2</v>
      </c>
      <c r="E589">
        <v>-0.109116186221155</v>
      </c>
      <c r="F589">
        <v>-4.3866109373555007E-2</v>
      </c>
      <c r="G589">
        <v>-0.142554894784995</v>
      </c>
      <c r="H589">
        <v>-6.2396438419548013E-2</v>
      </c>
      <c r="I589">
        <v>-0.23122867550364901</v>
      </c>
    </row>
    <row r="590" spans="1:9" x14ac:dyDescent="0.2">
      <c r="A590" s="1" t="s">
        <v>590</v>
      </c>
      <c r="B590" t="str">
        <f>HYPERLINK("https://www.suredividend.com/sure-analysis-research-database/","Enersys")</f>
        <v>Enersys</v>
      </c>
      <c r="C590">
        <v>-7.0010235414534008E-2</v>
      </c>
      <c r="D590">
        <v>1.8470567926807999E-2</v>
      </c>
      <c r="E590">
        <v>-7.1811510109346999E-2</v>
      </c>
      <c r="F590">
        <v>-0.100039619651347</v>
      </c>
      <c r="G590">
        <v>7.0100579091730009E-3</v>
      </c>
      <c r="H590">
        <v>0.29199958478551702</v>
      </c>
      <c r="I590">
        <v>0.260276328692716</v>
      </c>
    </row>
    <row r="591" spans="1:9" x14ac:dyDescent="0.2">
      <c r="A591" s="1" t="s">
        <v>591</v>
      </c>
      <c r="B591" t="str">
        <f>HYPERLINK("https://www.suredividend.com/sure-analysis-ENSG/","Ensign Group Inc")</f>
        <v>Ensign Group Inc</v>
      </c>
      <c r="C591">
        <v>4.6395308727147012E-2</v>
      </c>
      <c r="D591">
        <v>0.12574185868943</v>
      </c>
      <c r="E591">
        <v>0.25393210124049698</v>
      </c>
      <c r="F591">
        <v>8.1365297210587009E-2</v>
      </c>
      <c r="G591">
        <v>0.33425699896637401</v>
      </c>
      <c r="H591">
        <v>0.53112728520810404</v>
      </c>
      <c r="I591">
        <v>1.4665258655912119</v>
      </c>
    </row>
    <row r="592" spans="1:9" x14ac:dyDescent="0.2">
      <c r="A592" s="1" t="s">
        <v>592</v>
      </c>
      <c r="B592" t="str">
        <f>HYPERLINK("https://www.suredividend.com/sure-analysis-research-database/","Enanta Pharmaceuticals Inc")</f>
        <v>Enanta Pharmaceuticals Inc</v>
      </c>
      <c r="C592">
        <v>9.2228864218616008E-2</v>
      </c>
      <c r="D592">
        <v>0.43064876957494402</v>
      </c>
      <c r="E592">
        <v>-0.18065342729019801</v>
      </c>
      <c r="F592">
        <v>0.35919234856535498</v>
      </c>
      <c r="G592">
        <v>-0.74738297452103508</v>
      </c>
      <c r="H592">
        <v>-0.80136667184345411</v>
      </c>
      <c r="I592">
        <v>-0.8726729716276751</v>
      </c>
    </row>
    <row r="593" spans="1:9" x14ac:dyDescent="0.2">
      <c r="A593" s="1" t="s">
        <v>593</v>
      </c>
      <c r="B593" t="str">
        <f>HYPERLINK("https://www.suredividend.com/sure-analysis-research-database/","Envestnet Inc.")</f>
        <v>Envestnet Inc.</v>
      </c>
      <c r="C593">
        <v>-1.8135225704710999E-2</v>
      </c>
      <c r="D593">
        <v>0.26165146909827702</v>
      </c>
      <c r="E593">
        <v>-5.2681627995435007E-2</v>
      </c>
      <c r="F593">
        <v>5.8562197092080007E-3</v>
      </c>
      <c r="G593">
        <v>-0.234986945169712</v>
      </c>
      <c r="H593">
        <v>-0.245417361005908</v>
      </c>
      <c r="I593">
        <v>-0.117626217891939</v>
      </c>
    </row>
    <row r="594" spans="1:9" x14ac:dyDescent="0.2">
      <c r="A594" s="1" t="s">
        <v>594</v>
      </c>
      <c r="B594" t="str">
        <f>HYPERLINK("https://www.suredividend.com/sure-analysis-research-database/","Enova International Inc.")</f>
        <v>Enova International Inc.</v>
      </c>
      <c r="C594">
        <v>8.6027298850574002E-2</v>
      </c>
      <c r="D594">
        <v>0.47993147332354302</v>
      </c>
      <c r="E594">
        <v>0.20650438946528299</v>
      </c>
      <c r="F594">
        <v>9.2304913294797009E-2</v>
      </c>
      <c r="G594">
        <v>0.20003969041476399</v>
      </c>
      <c r="H594">
        <v>0.47272284461763198</v>
      </c>
      <c r="I594">
        <v>1.373233908948194</v>
      </c>
    </row>
    <row r="595" spans="1:9" x14ac:dyDescent="0.2">
      <c r="A595" s="1" t="s">
        <v>595</v>
      </c>
      <c r="B595" t="str">
        <f>HYPERLINK("https://www.suredividend.com/sure-analysis-research-database/","Enovix Corporation")</f>
        <v>Enovix Corporation</v>
      </c>
      <c r="C595">
        <v>0.227083333333333</v>
      </c>
      <c r="D595">
        <v>1.3769363166953E-2</v>
      </c>
      <c r="E595">
        <v>-0.16156583629893201</v>
      </c>
      <c r="F595">
        <v>-5.9105431309904012E-2</v>
      </c>
      <c r="G595">
        <v>0.35558112773302603</v>
      </c>
      <c r="H595">
        <v>-0.18646408839779</v>
      </c>
      <c r="I595">
        <v>-6.1354581673306013E-2</v>
      </c>
    </row>
    <row r="596" spans="1:9" x14ac:dyDescent="0.2">
      <c r="A596" s="1" t="s">
        <v>596</v>
      </c>
      <c r="B596" t="str">
        <f>HYPERLINK("https://www.suredividend.com/sure-analysis-research-database/","Evolus Inc")</f>
        <v>Evolus Inc</v>
      </c>
      <c r="C596">
        <v>0.123206751054852</v>
      </c>
      <c r="D596">
        <v>0.35264227642276402</v>
      </c>
      <c r="E596">
        <v>0.39810924369747902</v>
      </c>
      <c r="F596">
        <v>0.26400759734092999</v>
      </c>
      <c r="G596">
        <v>0.43426724137931011</v>
      </c>
      <c r="H596">
        <v>0.52462772050400908</v>
      </c>
      <c r="I596">
        <v>-0.48490712074303399</v>
      </c>
    </row>
    <row r="597" spans="1:9" x14ac:dyDescent="0.2">
      <c r="A597" s="1" t="s">
        <v>597</v>
      </c>
      <c r="B597" t="str">
        <f>HYPERLINK("https://www.suredividend.com/sure-analysis-research-database/","Eos Energy Enterprises Inc")</f>
        <v>Eos Energy Enterprises Inc</v>
      </c>
      <c r="C597">
        <v>4.1865509761388003E-2</v>
      </c>
      <c r="D597">
        <v>-0.16469565217391299</v>
      </c>
      <c r="E597">
        <v>-0.67872909698996609</v>
      </c>
      <c r="F597">
        <v>-0.11871559633027499</v>
      </c>
      <c r="G597">
        <v>-0.50738461538461499</v>
      </c>
      <c r="H597">
        <v>-0.68912621359223203</v>
      </c>
      <c r="I597">
        <v>-0.90096907216494804</v>
      </c>
    </row>
    <row r="598" spans="1:9" x14ac:dyDescent="0.2">
      <c r="A598" s="1" t="s">
        <v>598</v>
      </c>
      <c r="B598" t="str">
        <f>HYPERLINK("https://www.suredividend.com/sure-analysis-research-database/","Empire Petroleum Corporation")</f>
        <v>Empire Petroleum Corporation</v>
      </c>
      <c r="C598">
        <v>-0.143070044709389</v>
      </c>
      <c r="D598">
        <v>-0.261874197689345</v>
      </c>
      <c r="E598">
        <v>-0.35101580135440102</v>
      </c>
      <c r="F598">
        <v>-0.47679708826205602</v>
      </c>
      <c r="G598">
        <v>-0.564393939393939</v>
      </c>
      <c r="H598">
        <v>22</v>
      </c>
      <c r="I598">
        <v>22</v>
      </c>
    </row>
    <row r="599" spans="1:9" x14ac:dyDescent="0.2">
      <c r="A599" s="1" t="s">
        <v>599</v>
      </c>
      <c r="B599" t="str">
        <f>HYPERLINK("https://www.suredividend.com/sure-analysis-research-database/","Enerpac Tool Group Corp")</f>
        <v>Enerpac Tool Group Corp</v>
      </c>
      <c r="C599">
        <v>0.105878423513694</v>
      </c>
      <c r="D599">
        <v>0.172865745660644</v>
      </c>
      <c r="E599">
        <v>0.287209930682714</v>
      </c>
      <c r="F599">
        <v>6.4972660019298009E-2</v>
      </c>
      <c r="G599">
        <v>0.227182594837011</v>
      </c>
      <c r="H599">
        <v>0.91927564879168511</v>
      </c>
      <c r="I599">
        <v>0.34102332513841499</v>
      </c>
    </row>
    <row r="600" spans="1:9" x14ac:dyDescent="0.2">
      <c r="A600" s="1" t="s">
        <v>600</v>
      </c>
      <c r="B600" t="str">
        <f>HYPERLINK("https://www.suredividend.com/sure-analysis-research-database/","Edgewell Personal Care Co")</f>
        <v>Edgewell Personal Care Co</v>
      </c>
      <c r="C600">
        <v>1.1466666666666001E-2</v>
      </c>
      <c r="D600">
        <v>9.0807652045875001E-2</v>
      </c>
      <c r="E600">
        <v>3.0211012637942999E-2</v>
      </c>
      <c r="F600">
        <v>3.5490035490035002E-2</v>
      </c>
      <c r="G600">
        <v>-0.13228680060211401</v>
      </c>
      <c r="H600">
        <v>8.5174620703861004E-2</v>
      </c>
      <c r="I600">
        <v>-0.125198346802465</v>
      </c>
    </row>
    <row r="601" spans="1:9" x14ac:dyDescent="0.2">
      <c r="A601" s="1" t="s">
        <v>601</v>
      </c>
      <c r="B601" t="str">
        <f>HYPERLINK("https://www.suredividend.com/sure-analysis-research-database/","Evolution Petroleum Corporation")</f>
        <v>Evolution Petroleum Corporation</v>
      </c>
      <c r="C601">
        <v>-3.1690140845070013E-2</v>
      </c>
      <c r="D601">
        <v>-4.9922266367248003E-2</v>
      </c>
      <c r="E601">
        <v>-0.387275380724797</v>
      </c>
      <c r="F601">
        <v>-5.3356282271944007E-2</v>
      </c>
      <c r="G601">
        <v>-7.0230551192470014E-3</v>
      </c>
      <c r="H601">
        <v>-3.3595726736013E-2</v>
      </c>
      <c r="I601">
        <v>7.417678996914101E-2</v>
      </c>
    </row>
    <row r="602" spans="1:9" x14ac:dyDescent="0.2">
      <c r="A602" s="1" t="s">
        <v>602</v>
      </c>
      <c r="B602" t="str">
        <f>HYPERLINK("https://www.suredividend.com/sure-analysis-EPRT/","Essential Properties Realty Trust Inc")</f>
        <v>Essential Properties Realty Trust Inc</v>
      </c>
      <c r="C602">
        <v>-1.6773162939296999E-2</v>
      </c>
      <c r="D602">
        <v>6.5127668227008009E-2</v>
      </c>
      <c r="E602">
        <v>7.3637021725668009E-2</v>
      </c>
      <c r="F602">
        <v>-3.6776212832549997E-2</v>
      </c>
      <c r="G602">
        <v>-2.7826495522239999E-3</v>
      </c>
      <c r="H602">
        <v>8.1190275435637005E-2</v>
      </c>
      <c r="I602">
        <v>0.88948580199539506</v>
      </c>
    </row>
    <row r="603" spans="1:9" x14ac:dyDescent="0.2">
      <c r="A603" s="1" t="s">
        <v>603</v>
      </c>
      <c r="B603" t="str">
        <f>HYPERLINK("https://www.suredividend.com/sure-analysis-research-database/","Equity Bancshares Inc")</f>
        <v>Equity Bancshares Inc</v>
      </c>
      <c r="C603">
        <v>9.2194222495400012E-4</v>
      </c>
      <c r="D603">
        <v>0.21274631000431901</v>
      </c>
      <c r="E603">
        <v>0.279090773423816</v>
      </c>
      <c r="F603">
        <v>-3.9233038348082012E-2</v>
      </c>
      <c r="G603">
        <v>4.8497432678223013E-2</v>
      </c>
      <c r="H603">
        <v>3.6521716991700003E-2</v>
      </c>
      <c r="I603">
        <v>1.2091022935965E-2</v>
      </c>
    </row>
    <row r="604" spans="1:9" x14ac:dyDescent="0.2">
      <c r="A604" s="1" t="s">
        <v>604</v>
      </c>
      <c r="B604" t="str">
        <f>HYPERLINK("https://www.suredividend.com/sure-analysis-research-database/","Equity Commonwealth")</f>
        <v>Equity Commonwealth</v>
      </c>
      <c r="C604">
        <v>-6.5139949109414008E-2</v>
      </c>
      <c r="D604">
        <v>-3.3157894736841997E-2</v>
      </c>
      <c r="E604">
        <v>-2.2352315061201999E-2</v>
      </c>
      <c r="F604">
        <v>-4.3229166666666007E-2</v>
      </c>
      <c r="G604">
        <v>-0.15372531314927501</v>
      </c>
      <c r="H604">
        <v>-0.158339404102465</v>
      </c>
      <c r="I604">
        <v>-0.119320769551606</v>
      </c>
    </row>
    <row r="605" spans="1:9" x14ac:dyDescent="0.2">
      <c r="A605" s="1" t="s">
        <v>605</v>
      </c>
      <c r="B605" t="str">
        <f>HYPERLINK("https://www.suredividend.com/sure-analysis-research-database/","Erasca Inc")</f>
        <v>Erasca Inc</v>
      </c>
      <c r="C605">
        <v>0.158823529411764</v>
      </c>
      <c r="D605">
        <v>-0.124444444444444</v>
      </c>
      <c r="E605">
        <v>-0.21513944223107501</v>
      </c>
      <c r="F605">
        <v>-7.5117370892018004E-2</v>
      </c>
      <c r="G605">
        <v>-0.49357326478149111</v>
      </c>
      <c r="H605">
        <v>-0.82914137033824808</v>
      </c>
      <c r="I605">
        <v>-0.88697647733792306</v>
      </c>
    </row>
    <row r="606" spans="1:9" x14ac:dyDescent="0.2">
      <c r="A606" s="1" t="s">
        <v>606</v>
      </c>
      <c r="B606" t="str">
        <f>HYPERLINK("https://www.suredividend.com/sure-analysis-research-database/","Energy Recovery Inc")</f>
        <v>Energy Recovery Inc</v>
      </c>
      <c r="C606">
        <v>-5.3172205438066007E-2</v>
      </c>
      <c r="D606">
        <v>-0.20295015259409899</v>
      </c>
      <c r="E606">
        <v>-0.42262343404568897</v>
      </c>
      <c r="F606">
        <v>-0.168259023354564</v>
      </c>
      <c r="G606">
        <v>-0.27688047992616499</v>
      </c>
      <c r="H606">
        <v>-0.19969356486210399</v>
      </c>
      <c r="I606">
        <v>0.93935643564356408</v>
      </c>
    </row>
    <row r="607" spans="1:9" x14ac:dyDescent="0.2">
      <c r="A607" s="1" t="s">
        <v>607</v>
      </c>
      <c r="B607" t="str">
        <f>HYPERLINK("https://www.suredividend.com/sure-analysis-research-database/","Escalade, Inc.")</f>
        <v>Escalade, Inc.</v>
      </c>
      <c r="C607">
        <v>-0.20705760249091801</v>
      </c>
      <c r="D607">
        <v>-0.23489059135746801</v>
      </c>
      <c r="E607">
        <v>2.9705105396516999E-2</v>
      </c>
      <c r="F607">
        <v>-0.22765481022447501</v>
      </c>
      <c r="G607">
        <v>0.25207928742922198</v>
      </c>
      <c r="H607">
        <v>0.280879850452247</v>
      </c>
      <c r="I607">
        <v>0.55171013079860209</v>
      </c>
    </row>
    <row r="608" spans="1:9" x14ac:dyDescent="0.2">
      <c r="A608" s="1" t="s">
        <v>608</v>
      </c>
      <c r="B608" t="str">
        <f>HYPERLINK("https://www.suredividend.com/sure-analysis-research-database/","Esco Technologies, Inc.")</f>
        <v>Esco Technologies, Inc.</v>
      </c>
      <c r="C608">
        <v>1.7626321974139999E-3</v>
      </c>
      <c r="D608">
        <v>-1.8681503153552E-2</v>
      </c>
      <c r="E608">
        <v>3.424197334206E-3</v>
      </c>
      <c r="F608">
        <v>-0.12525748469200601</v>
      </c>
      <c r="G608">
        <v>4.8178290721419013E-2</v>
      </c>
      <c r="H608">
        <v>0.45793577386746298</v>
      </c>
      <c r="I608">
        <v>0.48100749045235103</v>
      </c>
    </row>
    <row r="609" spans="1:9" x14ac:dyDescent="0.2">
      <c r="A609" s="1" t="s">
        <v>609</v>
      </c>
      <c r="B609" t="str">
        <f>HYPERLINK("https://www.suredividend.com/sure-analysis-research-database/","Enstar Group Limited")</f>
        <v>Enstar Group Limited</v>
      </c>
      <c r="C609">
        <v>6.8392410648624002E-2</v>
      </c>
      <c r="D609">
        <v>9.7861407088339014E-2</v>
      </c>
      <c r="E609">
        <v>0.16986753633691601</v>
      </c>
      <c r="F609">
        <v>-1.2875828095804001E-2</v>
      </c>
      <c r="G609">
        <v>0.17649916993966799</v>
      </c>
      <c r="H609">
        <v>4.8082819319698003E-2</v>
      </c>
      <c r="I609">
        <v>0.59490613678779203</v>
      </c>
    </row>
    <row r="610" spans="1:9" x14ac:dyDescent="0.2">
      <c r="A610" s="1" t="s">
        <v>610</v>
      </c>
      <c r="B610" t="str">
        <f>HYPERLINK("https://www.suredividend.com/sure-analysis-research-database/","Essent Group Ltd")</f>
        <v>Essent Group Ltd</v>
      </c>
      <c r="C610">
        <v>-5.9228400652055008E-2</v>
      </c>
      <c r="D610">
        <v>7.0574655783658999E-2</v>
      </c>
      <c r="E610">
        <v>4.2335602363215007E-2</v>
      </c>
      <c r="F610">
        <v>-1.5168752370117E-2</v>
      </c>
      <c r="G610">
        <v>0.219973364462932</v>
      </c>
      <c r="H610">
        <v>0.204481208098825</v>
      </c>
      <c r="I610">
        <v>0.26344569907905102</v>
      </c>
    </row>
    <row r="611" spans="1:9" x14ac:dyDescent="0.2">
      <c r="A611" s="1" t="s">
        <v>611</v>
      </c>
      <c r="B611" t="str">
        <f>HYPERLINK("https://www.suredividend.com/sure-analysis-research-database/","Esquire Financial Holdings Inc")</f>
        <v>Esquire Financial Holdings Inc</v>
      </c>
      <c r="C611">
        <v>3.0340803442198999E-2</v>
      </c>
      <c r="D611">
        <v>8.1292509615593006E-2</v>
      </c>
      <c r="E611">
        <v>5.2428983251234997E-2</v>
      </c>
      <c r="F611">
        <v>2.294238620959E-3</v>
      </c>
      <c r="G611">
        <v>0.11318416307611</v>
      </c>
      <c r="H611">
        <v>0.52279292954022405</v>
      </c>
      <c r="I611">
        <v>1.157559044534342</v>
      </c>
    </row>
    <row r="612" spans="1:9" x14ac:dyDescent="0.2">
      <c r="A612" s="1" t="s">
        <v>612</v>
      </c>
      <c r="B612" t="str">
        <f>HYPERLINK("https://www.suredividend.com/sure-analysis-ESRT/","Empire State Realty Trust Inc")</f>
        <v>Empire State Realty Trust Inc</v>
      </c>
      <c r="C612">
        <v>-3.3797216699801E-2</v>
      </c>
      <c r="D612">
        <v>0.11231904789151401</v>
      </c>
      <c r="E612">
        <v>0.17861040378319301</v>
      </c>
      <c r="F612">
        <v>3.0959752321979999E-3</v>
      </c>
      <c r="G612">
        <v>0.26022637399680998</v>
      </c>
      <c r="H612">
        <v>6.4598803969244001E-2</v>
      </c>
      <c r="I612">
        <v>-0.30763313103683998</v>
      </c>
    </row>
    <row r="613" spans="1:9" x14ac:dyDescent="0.2">
      <c r="A613" s="1" t="s">
        <v>613</v>
      </c>
      <c r="B613" t="str">
        <f>HYPERLINK("https://www.suredividend.com/sure-analysis-research-database/","ESSA Bancorp Inc")</f>
        <v>ESSA Bancorp Inc</v>
      </c>
      <c r="C613">
        <v>-9.7222222222222002E-2</v>
      </c>
      <c r="D613">
        <v>8.119763430261201E-2</v>
      </c>
      <c r="E613">
        <v>9.0170451721910003E-2</v>
      </c>
      <c r="F613">
        <v>-0.123376623376623</v>
      </c>
      <c r="G613">
        <v>-7.8077147344809E-2</v>
      </c>
      <c r="H613">
        <v>6.7076878176909008E-2</v>
      </c>
      <c r="I613">
        <v>0.31253225239509003</v>
      </c>
    </row>
    <row r="614" spans="1:9" x14ac:dyDescent="0.2">
      <c r="A614" s="1" t="s">
        <v>614</v>
      </c>
      <c r="B614" t="str">
        <f>HYPERLINK("https://www.suredividend.com/sure-analysis-ETD/","Ethan Allen Interiors, Inc.")</f>
        <v>Ethan Allen Interiors, Inc.</v>
      </c>
      <c r="C614">
        <v>9.0164847404767004E-2</v>
      </c>
      <c r="D614">
        <v>0.14987260351423301</v>
      </c>
      <c r="E614">
        <v>1.4754767597829999E-2</v>
      </c>
      <c r="F614">
        <v>-6.8304191480050014E-3</v>
      </c>
      <c r="G614">
        <v>0.111892133682663</v>
      </c>
      <c r="H614">
        <v>0.38793489291364402</v>
      </c>
      <c r="I614">
        <v>0.81880476884570907</v>
      </c>
    </row>
    <row r="615" spans="1:9" x14ac:dyDescent="0.2">
      <c r="A615" s="1" t="s">
        <v>615</v>
      </c>
      <c r="B615" t="str">
        <f>HYPERLINK("https://www.suredividend.com/sure-analysis-research-database/","89bio Inc")</f>
        <v>89bio Inc</v>
      </c>
      <c r="C615">
        <v>-0.10416666666666601</v>
      </c>
      <c r="D615">
        <v>0.27777777777777701</v>
      </c>
      <c r="E615">
        <v>-0.39138461538461511</v>
      </c>
      <c r="F615">
        <v>-0.114592658907788</v>
      </c>
      <c r="G615">
        <v>-0.29205440229062202</v>
      </c>
      <c r="H615">
        <v>1.327058823529411</v>
      </c>
      <c r="I615">
        <v>-0.52451923076923002</v>
      </c>
    </row>
    <row r="616" spans="1:9" x14ac:dyDescent="0.2">
      <c r="A616" s="1" t="s">
        <v>616</v>
      </c>
      <c r="B616" t="str">
        <f>HYPERLINK("https://www.suredividend.com/sure-analysis-research-database/","Equitrans Midstream Corporation")</f>
        <v>Equitrans Midstream Corporation</v>
      </c>
      <c r="C616">
        <v>2.9411764705881999E-2</v>
      </c>
      <c r="D616">
        <v>0.17339412632425899</v>
      </c>
      <c r="E616">
        <v>0.128923007450891</v>
      </c>
      <c r="F616">
        <v>4.6598554697233001E-2</v>
      </c>
      <c r="G616">
        <v>0.74828085715712811</v>
      </c>
      <c r="H616">
        <v>0.71266392640438403</v>
      </c>
      <c r="I616">
        <v>-0.173703304399833</v>
      </c>
    </row>
    <row r="617" spans="1:9" x14ac:dyDescent="0.2">
      <c r="A617" s="1" t="s">
        <v>617</v>
      </c>
      <c r="B617" t="str">
        <f>HYPERLINK("https://www.suredividend.com/sure-analysis-research-database/","E2open Parent Holdings Inc")</f>
        <v>E2open Parent Holdings Inc</v>
      </c>
      <c r="C617">
        <v>0.129120879120879</v>
      </c>
      <c r="D617">
        <v>0.16761363636363599</v>
      </c>
      <c r="E617">
        <v>-0.138364779874213</v>
      </c>
      <c r="F617">
        <v>-6.3781321184510006E-2</v>
      </c>
      <c r="G617">
        <v>-0.34449760765550203</v>
      </c>
      <c r="H617">
        <v>-0.5324232081911261</v>
      </c>
      <c r="I617">
        <v>-0.58484848484848406</v>
      </c>
    </row>
    <row r="618" spans="1:9" x14ac:dyDescent="0.2">
      <c r="A618" s="1" t="s">
        <v>618</v>
      </c>
      <c r="B618" t="str">
        <f>HYPERLINK("https://www.suredividend.com/sure-analysis-research-database/","enCore Energy Corp")</f>
        <v>enCore Energy Corp</v>
      </c>
      <c r="C618">
        <v>-6.3926940639269E-2</v>
      </c>
      <c r="D618">
        <v>5.6701030927835003E-2</v>
      </c>
      <c r="E618">
        <v>0.74468085106382909</v>
      </c>
      <c r="F618">
        <v>4.325699745547E-2</v>
      </c>
      <c r="G618">
        <v>0.66666666666666607</v>
      </c>
      <c r="H618">
        <v>47.693586698337292</v>
      </c>
      <c r="I618">
        <v>47.693586698337292</v>
      </c>
    </row>
    <row r="619" spans="1:9" x14ac:dyDescent="0.2">
      <c r="A619" s="1" t="s">
        <v>619</v>
      </c>
      <c r="B619" t="str">
        <f>HYPERLINK("https://www.suredividend.com/sure-analysis-research-database/","Enviva Inc")</f>
        <v>Enviva Inc</v>
      </c>
      <c r="C619">
        <v>-6.8318318318318E-2</v>
      </c>
      <c r="D619">
        <v>-0.77018518518518508</v>
      </c>
      <c r="E619">
        <v>-0.96571823204419804</v>
      </c>
      <c r="F619">
        <v>-0.62612974492869999</v>
      </c>
      <c r="G619">
        <v>-0.99162806386327806</v>
      </c>
      <c r="H619">
        <v>-0.99423884869820811</v>
      </c>
      <c r="I619">
        <v>-0.99447652336981007</v>
      </c>
    </row>
    <row r="620" spans="1:9" x14ac:dyDescent="0.2">
      <c r="A620" s="1" t="s">
        <v>620</v>
      </c>
      <c r="B620" t="str">
        <f>HYPERLINK("https://www.suredividend.com/sure-analysis-research-database/","Everbridge Inc")</f>
        <v>Everbridge Inc</v>
      </c>
      <c r="C620">
        <v>0.304287690179806</v>
      </c>
      <c r="D620">
        <v>0.36997578692493899</v>
      </c>
      <c r="E620">
        <v>0.226267880364109</v>
      </c>
      <c r="F620">
        <v>0.163718634306869</v>
      </c>
      <c r="G620">
        <v>-0.19009447466361201</v>
      </c>
      <c r="H620">
        <v>-0.37878787878787801</v>
      </c>
      <c r="I620">
        <v>-0.58366445916114806</v>
      </c>
    </row>
    <row r="621" spans="1:9" x14ac:dyDescent="0.2">
      <c r="A621" s="1" t="s">
        <v>621</v>
      </c>
      <c r="B621" t="str">
        <f>HYPERLINK("https://www.suredividend.com/sure-analysis-research-database/","Evans Bancorp Inc")</f>
        <v>Evans Bancorp Inc</v>
      </c>
      <c r="C621">
        <v>-3.4079518877380012E-2</v>
      </c>
      <c r="D621">
        <v>3.1763026409706997E-2</v>
      </c>
      <c r="E621">
        <v>2.8642590286425001E-2</v>
      </c>
      <c r="F621">
        <v>-8.3095464636853009E-2</v>
      </c>
      <c r="G621">
        <v>-0.21120627324294899</v>
      </c>
      <c r="H621">
        <v>-0.22781263438490701</v>
      </c>
      <c r="I621">
        <v>1.3035251243955E-2</v>
      </c>
    </row>
    <row r="622" spans="1:9" x14ac:dyDescent="0.2">
      <c r="A622" s="1" t="s">
        <v>622</v>
      </c>
      <c r="B622" t="str">
        <f>HYPERLINK("https://www.suredividend.com/sure-analysis-research-database/","Entravision Communications Corp.")</f>
        <v>Entravision Communications Corp.</v>
      </c>
      <c r="C622">
        <v>-1.4999999999999999E-2</v>
      </c>
      <c r="D622">
        <v>-3.4621321637712997E-2</v>
      </c>
      <c r="E622">
        <v>2.0725388601036E-2</v>
      </c>
      <c r="F622">
        <v>-5.5155875299760002E-2</v>
      </c>
      <c r="G622">
        <v>-0.41477905681396199</v>
      </c>
      <c r="H622">
        <v>-0.31818575112049402</v>
      </c>
      <c r="I622">
        <v>0.21970095656750099</v>
      </c>
    </row>
    <row r="623" spans="1:9" x14ac:dyDescent="0.2">
      <c r="A623" s="1" t="s">
        <v>623</v>
      </c>
      <c r="B623" t="str">
        <f>HYPERLINK("https://www.suredividend.com/sure-analysis-research-database/","EverCommerce Inc")</f>
        <v>EverCommerce Inc</v>
      </c>
      <c r="C623">
        <v>-1.2845849802371001E-2</v>
      </c>
      <c r="D623">
        <v>0.15893271461716901</v>
      </c>
      <c r="E623">
        <v>-2.2504892367905999E-2</v>
      </c>
      <c r="F623">
        <v>-9.4288304623753011E-2</v>
      </c>
      <c r="G623">
        <v>-2.7263875365141001E-2</v>
      </c>
      <c r="H623">
        <v>-0.104838709677419</v>
      </c>
      <c r="I623">
        <v>-0.43238636363636301</v>
      </c>
    </row>
    <row r="624" spans="1:9" x14ac:dyDescent="0.2">
      <c r="A624" s="1" t="s">
        <v>624</v>
      </c>
      <c r="B624" t="str">
        <f>HYPERLINK("https://www.suredividend.com/sure-analysis-research-database/","EverQuote Inc")</f>
        <v>EverQuote Inc</v>
      </c>
      <c r="C624">
        <v>0.35701275045537301</v>
      </c>
      <c r="D624">
        <v>0.74473067915690805</v>
      </c>
      <c r="E624">
        <v>1.2887864823348689</v>
      </c>
      <c r="F624">
        <v>0.217320261437908</v>
      </c>
      <c r="G624">
        <v>-5.7558507273877013E-2</v>
      </c>
      <c r="H624">
        <v>-0.106714628297362</v>
      </c>
      <c r="I624">
        <v>1.718978102189781</v>
      </c>
    </row>
    <row r="625" spans="1:9" x14ac:dyDescent="0.2">
      <c r="A625" s="1" t="s">
        <v>625</v>
      </c>
      <c r="B625" t="str">
        <f>HYPERLINK("https://www.suredividend.com/sure-analysis-research-database/","Eve Holding Inc")</f>
        <v>Eve Holding Inc</v>
      </c>
      <c r="C625">
        <v>-0.137370753323485</v>
      </c>
      <c r="D625">
        <v>-0.20327421555252301</v>
      </c>
      <c r="E625">
        <v>-0.23859191655801801</v>
      </c>
      <c r="F625">
        <v>-0.202185792349726</v>
      </c>
      <c r="G625">
        <v>-5.8064516129031997E-2</v>
      </c>
      <c r="H625">
        <v>-0.32563510392609701</v>
      </c>
      <c r="I625">
        <v>-0.32563510392609701</v>
      </c>
    </row>
    <row r="626" spans="1:9" x14ac:dyDescent="0.2">
      <c r="A626" s="1" t="s">
        <v>626</v>
      </c>
      <c r="B626" t="str">
        <f>HYPERLINK("https://www.suredividend.com/sure-analysis-research-database/","EVgo Inc")</f>
        <v>EVgo Inc</v>
      </c>
      <c r="C626">
        <v>-5.6390977443609012E-2</v>
      </c>
      <c r="D626">
        <v>-0.1968</v>
      </c>
      <c r="E626">
        <v>-0.39952153110047811</v>
      </c>
      <c r="F626">
        <v>-0.29888268156424502</v>
      </c>
      <c r="G626">
        <v>-0.6150306748466251</v>
      </c>
      <c r="H626">
        <v>-0.749</v>
      </c>
      <c r="I626">
        <v>-0.74417514320076605</v>
      </c>
    </row>
    <row r="627" spans="1:9" x14ac:dyDescent="0.2">
      <c r="A627" s="1" t="s">
        <v>627</v>
      </c>
      <c r="B627" t="str">
        <f>HYPERLINK("https://www.suredividend.com/sure-analysis-research-database/","Evolent Health Inc")</f>
        <v>Evolent Health Inc</v>
      </c>
      <c r="C627">
        <v>1.7543859649122001E-2</v>
      </c>
      <c r="D627">
        <v>5.4183813443072007E-2</v>
      </c>
      <c r="E627">
        <v>0.16307226636398001</v>
      </c>
      <c r="F627">
        <v>-6.9330911292764003E-2</v>
      </c>
      <c r="G627">
        <v>-6.9894099848714003E-2</v>
      </c>
      <c r="H627">
        <v>0.31818181818181801</v>
      </c>
      <c r="I627">
        <v>1.1141678129298489</v>
      </c>
    </row>
    <row r="628" spans="1:9" x14ac:dyDescent="0.2">
      <c r="A628" s="1" t="s">
        <v>628</v>
      </c>
      <c r="B628" t="str">
        <f>HYPERLINK("https://www.suredividend.com/sure-analysis-research-database/","EVI Industries Inc")</f>
        <v>EVI Industries Inc</v>
      </c>
      <c r="C628">
        <v>-3.7629350893689999E-3</v>
      </c>
      <c r="D628">
        <v>-0.123707074886222</v>
      </c>
      <c r="E628">
        <v>-0.15312519992322901</v>
      </c>
      <c r="F628">
        <v>-0.107458912768647</v>
      </c>
      <c r="G628">
        <v>5.0782877894862001E-2</v>
      </c>
      <c r="H628">
        <v>5.3851933305801007E-2</v>
      </c>
      <c r="I628">
        <v>-0.45213558480258198</v>
      </c>
    </row>
    <row r="629" spans="1:9" x14ac:dyDescent="0.2">
      <c r="A629" s="1" t="s">
        <v>629</v>
      </c>
      <c r="B629" t="str">
        <f>HYPERLINK("https://www.suredividend.com/sure-analysis-research-database/","Evolv Technologies Holdings Inc")</f>
        <v>Evolv Technologies Holdings Inc</v>
      </c>
      <c r="C629">
        <v>2.2727272727269998E-3</v>
      </c>
      <c r="D629">
        <v>5.5023923444976003E-2</v>
      </c>
      <c r="E629">
        <v>-0.34375000000000011</v>
      </c>
      <c r="F629">
        <v>-6.5677966101694005E-2</v>
      </c>
      <c r="G629">
        <v>0.55281690140845008</v>
      </c>
      <c r="H629">
        <v>0.35276073619631898</v>
      </c>
      <c r="I629">
        <v>-0.54676258992805704</v>
      </c>
    </row>
    <row r="630" spans="1:9" x14ac:dyDescent="0.2">
      <c r="A630" s="1" t="s">
        <v>630</v>
      </c>
      <c r="B630" t="str">
        <f>HYPERLINK("https://www.suredividend.com/sure-analysis-research-database/","Everi Holdings Inc")</f>
        <v>Everi Holdings Inc</v>
      </c>
      <c r="C630">
        <v>4.3935052531040013E-2</v>
      </c>
      <c r="D630">
        <v>-1.5315315315314999E-2</v>
      </c>
      <c r="E630">
        <v>-0.17633760361718101</v>
      </c>
      <c r="F630">
        <v>-3.01685891748E-2</v>
      </c>
      <c r="G630">
        <v>-0.42954070981210801</v>
      </c>
      <c r="H630">
        <v>-0.51594331266607607</v>
      </c>
      <c r="I630">
        <v>0.41214470284237698</v>
      </c>
    </row>
    <row r="631" spans="1:9" x14ac:dyDescent="0.2">
      <c r="A631" s="1" t="s">
        <v>631</v>
      </c>
      <c r="B631" t="str">
        <f>HYPERLINK("https://www.suredividend.com/sure-analysis-research-database/","Evertec Inc")</f>
        <v>Evertec Inc</v>
      </c>
      <c r="C631">
        <v>6.2579821200510005E-2</v>
      </c>
      <c r="D631">
        <v>0.15845168476747401</v>
      </c>
      <c r="E631">
        <v>6.4943642465651E-2</v>
      </c>
      <c r="F631">
        <v>1.6121152906691999E-2</v>
      </c>
      <c r="G631">
        <v>0.17899796509485799</v>
      </c>
      <c r="H631">
        <v>-1.6220536869262999E-2</v>
      </c>
      <c r="I631">
        <v>0.39654020592253902</v>
      </c>
    </row>
    <row r="632" spans="1:9" x14ac:dyDescent="0.2">
      <c r="A632" s="1" t="s">
        <v>632</v>
      </c>
      <c r="B632" t="str">
        <f>HYPERLINK("https://www.suredividend.com/sure-analysis-research-database/","European Wax Center Inc")</f>
        <v>European Wax Center Inc</v>
      </c>
      <c r="C632">
        <v>2.5999999999999999E-2</v>
      </c>
      <c r="D632">
        <v>0.13161764705882301</v>
      </c>
      <c r="E632">
        <v>-0.11347926267281</v>
      </c>
      <c r="F632">
        <v>0.13245033112582699</v>
      </c>
      <c r="G632">
        <v>-0.178762006403415</v>
      </c>
      <c r="H632">
        <v>-0.30083590768671598</v>
      </c>
      <c r="I632">
        <v>-0.19558433819955101</v>
      </c>
    </row>
    <row r="633" spans="1:9" x14ac:dyDescent="0.2">
      <c r="A633" s="1" t="s">
        <v>633</v>
      </c>
      <c r="B633" t="str">
        <f>HYPERLINK("https://www.suredividend.com/sure-analysis-research-database/","Edgewise Therapeutics Inc")</f>
        <v>Edgewise Therapeutics Inc</v>
      </c>
      <c r="C633">
        <v>0.34739263803680998</v>
      </c>
      <c r="D633">
        <v>1.7325038880248831</v>
      </c>
      <c r="E633">
        <v>1.4436717663421419</v>
      </c>
      <c r="F633">
        <v>0.6060329067641681</v>
      </c>
      <c r="G633">
        <v>0.64513108614232206</v>
      </c>
      <c r="H633">
        <v>0.51074806534823702</v>
      </c>
      <c r="I633">
        <v>-0.41433333333333311</v>
      </c>
    </row>
    <row r="634" spans="1:9" x14ac:dyDescent="0.2">
      <c r="A634" s="1" t="s">
        <v>634</v>
      </c>
      <c r="B634" t="str">
        <f>HYPERLINK("https://www.suredividend.com/sure-analysis-research-database/","Expensify Inc")</f>
        <v>Expensify Inc</v>
      </c>
      <c r="C634">
        <v>-0.12299465240641699</v>
      </c>
      <c r="D634">
        <v>-0.34136546184738897</v>
      </c>
      <c r="E634">
        <v>-0.65254237288135608</v>
      </c>
      <c r="F634">
        <v>-0.33603238866396701</v>
      </c>
      <c r="G634">
        <v>-0.82534611288604909</v>
      </c>
      <c r="H634">
        <v>-0.92822757111597309</v>
      </c>
      <c r="I634">
        <v>-0.96005845104724807</v>
      </c>
    </row>
    <row r="635" spans="1:9" x14ac:dyDescent="0.2">
      <c r="A635" s="1" t="s">
        <v>635</v>
      </c>
      <c r="B635" t="str">
        <f>HYPERLINK("https://www.suredividend.com/sure-analysis-research-database/","ExlService Holdings Inc")</f>
        <v>ExlService Holdings Inc</v>
      </c>
      <c r="C635">
        <v>-5.5384615384614998E-2</v>
      </c>
      <c r="D635">
        <v>0.10511159107271401</v>
      </c>
      <c r="E635">
        <v>0.105509542671948</v>
      </c>
      <c r="F635">
        <v>-4.8622366288489996E-3</v>
      </c>
      <c r="G635">
        <v>-9.9865126370726004E-2</v>
      </c>
      <c r="H635">
        <v>0.34625504297491599</v>
      </c>
      <c r="I635">
        <v>1.383910545115701</v>
      </c>
    </row>
    <row r="636" spans="1:9" x14ac:dyDescent="0.2">
      <c r="A636" s="1" t="s">
        <v>636</v>
      </c>
      <c r="B636" t="str">
        <f>HYPERLINK("https://www.suredividend.com/sure-analysis-research-database/","eXp World Holdings Inc")</f>
        <v>eXp World Holdings Inc</v>
      </c>
      <c r="C636">
        <v>-0.147262914417887</v>
      </c>
      <c r="D636">
        <v>-0.13526192337763801</v>
      </c>
      <c r="E636">
        <v>-0.42597340585652399</v>
      </c>
      <c r="F636">
        <v>-0.28737113402061798</v>
      </c>
      <c r="G636">
        <v>-0.238370691732947</v>
      </c>
      <c r="H636">
        <v>-0.53727334343020106</v>
      </c>
      <c r="I636">
        <v>1.0006512065410069</v>
      </c>
    </row>
    <row r="637" spans="1:9" x14ac:dyDescent="0.2">
      <c r="A637" s="1" t="s">
        <v>637</v>
      </c>
      <c r="B637" t="str">
        <f>HYPERLINK("https://www.suredividend.com/sure-analysis-EXPO/","Exponent Inc.")</f>
        <v>Exponent Inc.</v>
      </c>
      <c r="C637">
        <v>-0.13502913491707699</v>
      </c>
      <c r="D637">
        <v>-3.5795748657820002E-3</v>
      </c>
      <c r="E637">
        <v>-0.12278907389982099</v>
      </c>
      <c r="F637">
        <v>-0.12323943661971801</v>
      </c>
      <c r="G637">
        <v>-0.27807321585227401</v>
      </c>
      <c r="H637">
        <v>-9.8758296992942002E-2</v>
      </c>
      <c r="I637">
        <v>0.43809431543804211</v>
      </c>
    </row>
    <row r="638" spans="1:9" x14ac:dyDescent="0.2">
      <c r="A638" s="1" t="s">
        <v>638</v>
      </c>
      <c r="B638" t="str">
        <f>HYPERLINK("https://www.suredividend.com/sure-analysis-research-database/","Extreme Networks Inc.")</f>
        <v>Extreme Networks Inc.</v>
      </c>
      <c r="C638">
        <v>-0.29439809296781799</v>
      </c>
      <c r="D638">
        <v>-0.28502415458937103</v>
      </c>
      <c r="E638">
        <v>-0.57969471068512601</v>
      </c>
      <c r="F638">
        <v>-0.32879818594104299</v>
      </c>
      <c r="G638">
        <v>-0.38684619368202999</v>
      </c>
      <c r="H638">
        <v>-2.5273799494519998E-3</v>
      </c>
      <c r="I638">
        <v>0.43168077388149911</v>
      </c>
    </row>
    <row r="639" spans="1:9" x14ac:dyDescent="0.2">
      <c r="A639" s="1" t="s">
        <v>639</v>
      </c>
      <c r="B639" t="str">
        <f>HYPERLINK("https://www.suredividend.com/sure-analysis-research-database/","National Vision Holdings Inc")</f>
        <v>National Vision Holdings Inc</v>
      </c>
      <c r="C639">
        <v>6.4082687338501004E-2</v>
      </c>
      <c r="D639">
        <v>5.1046452271566997E-2</v>
      </c>
      <c r="E639">
        <v>6.8500259470679004E-2</v>
      </c>
      <c r="F639">
        <v>-1.6244624940277001E-2</v>
      </c>
      <c r="G639">
        <v>-0.49841656516443311</v>
      </c>
      <c r="H639">
        <v>-0.46141773476327402</v>
      </c>
      <c r="I639">
        <v>-0.39760093622001103</v>
      </c>
    </row>
    <row r="640" spans="1:9" x14ac:dyDescent="0.2">
      <c r="A640" s="1" t="s">
        <v>640</v>
      </c>
      <c r="B640" t="str">
        <f>HYPERLINK("https://www.suredividend.com/sure-analysis-research-database/","Eyenovia Inc")</f>
        <v>Eyenovia Inc</v>
      </c>
      <c r="C640">
        <v>4.2207792207792007E-2</v>
      </c>
      <c r="D640">
        <v>0.188888888888888</v>
      </c>
      <c r="E640">
        <v>-0.12295081967213101</v>
      </c>
      <c r="F640">
        <v>-0.228365384615384</v>
      </c>
      <c r="G640">
        <v>-0.44270833333333298</v>
      </c>
      <c r="H640">
        <v>-0.41636363636363599</v>
      </c>
      <c r="I640">
        <v>-0.66975308641975306</v>
      </c>
    </row>
    <row r="641" spans="1:9" x14ac:dyDescent="0.2">
      <c r="A641" s="1" t="s">
        <v>641</v>
      </c>
      <c r="B641" t="str">
        <f>HYPERLINK("https://www.suredividend.com/sure-analysis-research-database/","EyePoint Pharmaceuticals Inc")</f>
        <v>EyePoint Pharmaceuticals Inc</v>
      </c>
      <c r="C641">
        <v>0.24126344086021501</v>
      </c>
      <c r="D641">
        <v>2.918670438472418</v>
      </c>
      <c r="E641">
        <v>0.93741258741258704</v>
      </c>
      <c r="F641">
        <v>0.19883167459973999</v>
      </c>
      <c r="G641">
        <v>7.0304347826086939</v>
      </c>
      <c r="H641">
        <v>2.0579470198675489</v>
      </c>
      <c r="I641">
        <v>4.1541353383457998E-2</v>
      </c>
    </row>
    <row r="642" spans="1:9" x14ac:dyDescent="0.2">
      <c r="A642" s="1" t="s">
        <v>642</v>
      </c>
      <c r="B642" t="str">
        <f>HYPERLINK("https://www.suredividend.com/sure-analysis-research-database/","First Advantage Corp.")</f>
        <v>First Advantage Corp.</v>
      </c>
      <c r="C642">
        <v>5.0640634533251003E-2</v>
      </c>
      <c r="D642">
        <v>0.16666666666666599</v>
      </c>
      <c r="E642">
        <v>0.275555555555555</v>
      </c>
      <c r="F642">
        <v>3.9227519613758997E-2</v>
      </c>
      <c r="G642">
        <v>0.40800156989721997</v>
      </c>
      <c r="H642">
        <v>0.165182558800443</v>
      </c>
      <c r="I642">
        <v>-2.9405299379427999E-2</v>
      </c>
    </row>
    <row r="643" spans="1:9" x14ac:dyDescent="0.2">
      <c r="A643" s="1" t="s">
        <v>643</v>
      </c>
      <c r="B643" t="str">
        <f>HYPERLINK("https://www.suredividend.com/sure-analysis-research-database/","Faro Technologies Inc.")</f>
        <v>Faro Technologies Inc.</v>
      </c>
      <c r="C643">
        <v>5.6385542168674002E-2</v>
      </c>
      <c r="D643">
        <v>0.182308522114347</v>
      </c>
      <c r="E643">
        <v>0.329290479078229</v>
      </c>
      <c r="F643">
        <v>-2.7075011096316E-2</v>
      </c>
      <c r="G643">
        <v>-0.232761638081904</v>
      </c>
      <c r="H643">
        <v>-0.59173030359471002</v>
      </c>
      <c r="I643">
        <v>-0.49920036554717812</v>
      </c>
    </row>
    <row r="644" spans="1:9" x14ac:dyDescent="0.2">
      <c r="A644" s="1" t="s">
        <v>644</v>
      </c>
      <c r="B644" t="str">
        <f>HYPERLINK("https://www.suredividend.com/sure-analysis-research-database/","Fate Therapeutics Inc")</f>
        <v>Fate Therapeutics Inc</v>
      </c>
      <c r="C644">
        <v>0.55849889624724003</v>
      </c>
      <c r="D644">
        <v>1.7153846153846151</v>
      </c>
      <c r="E644">
        <v>1.539568345323741</v>
      </c>
      <c r="F644">
        <v>0.88770053475935806</v>
      </c>
      <c r="G644">
        <v>7.7862595419847011E-2</v>
      </c>
      <c r="H644">
        <v>-0.78696439348219605</v>
      </c>
      <c r="I644">
        <v>-0.50767085076708507</v>
      </c>
    </row>
    <row r="645" spans="1:9" x14ac:dyDescent="0.2">
      <c r="A645" s="1" t="s">
        <v>645</v>
      </c>
      <c r="B645" t="str">
        <f>HYPERLINK("https://www.suredividend.com/sure-analysis-research-database/","First Business Financial Services Inc")</f>
        <v>First Business Financial Services Inc</v>
      </c>
      <c r="C645">
        <v>-2.5563730729785E-2</v>
      </c>
      <c r="D645">
        <v>6.627738609545801E-2</v>
      </c>
      <c r="E645">
        <v>0.19022042710436901</v>
      </c>
      <c r="F645">
        <v>-8.874430939673901E-2</v>
      </c>
      <c r="G645">
        <v>3.2287286039038E-2</v>
      </c>
      <c r="H645">
        <v>0.175157541600446</v>
      </c>
      <c r="I645">
        <v>0.92738970096289208</v>
      </c>
    </row>
    <row r="646" spans="1:9" x14ac:dyDescent="0.2">
      <c r="A646" s="1" t="s">
        <v>646</v>
      </c>
      <c r="B646" t="str">
        <f>HYPERLINK("https://www.suredividend.com/sure-analysis-research-database/","FB Financial Corp")</f>
        <v>FB Financial Corp</v>
      </c>
      <c r="C646">
        <v>-1.2478750730653E-2</v>
      </c>
      <c r="D646">
        <v>8.9586945073930002E-2</v>
      </c>
      <c r="E646">
        <v>0.15652496121888801</v>
      </c>
      <c r="F646">
        <v>-7.1457204589517001E-2</v>
      </c>
      <c r="G646">
        <v>-3.3239448450374E-2</v>
      </c>
      <c r="H646">
        <v>-0.146449992120363</v>
      </c>
      <c r="I646">
        <v>0.107232939804167</v>
      </c>
    </row>
    <row r="647" spans="1:9" x14ac:dyDescent="0.2">
      <c r="A647" s="1" t="s">
        <v>647</v>
      </c>
      <c r="B647" t="str">
        <f>HYPERLINK("https://www.suredividend.com/sure-analysis-research-database/","First Bancshares Inc Miss")</f>
        <v>First Bancshares Inc Miss</v>
      </c>
      <c r="C647">
        <v>-8.8199907450254009E-2</v>
      </c>
      <c r="D647">
        <v>-6.5604928810704011E-2</v>
      </c>
      <c r="E647">
        <v>-0.13584708387861799</v>
      </c>
      <c r="F647">
        <v>-0.15161994778139801</v>
      </c>
      <c r="G647">
        <v>-0.165446856956981</v>
      </c>
      <c r="H647">
        <v>-0.26163752787970301</v>
      </c>
      <c r="I647">
        <v>-0.144244934263557</v>
      </c>
    </row>
    <row r="648" spans="1:9" x14ac:dyDescent="0.2">
      <c r="A648" s="1" t="s">
        <v>648</v>
      </c>
      <c r="B648" t="str">
        <f>HYPERLINK("https://www.suredividend.com/sure-analysis-research-database/","First Bancorp")</f>
        <v>First Bancorp</v>
      </c>
      <c r="C648">
        <v>1.3840830449826E-2</v>
      </c>
      <c r="D648">
        <v>0.11187358288296501</v>
      </c>
      <c r="E648">
        <v>0.15734035549703701</v>
      </c>
      <c r="F648">
        <v>-4.9986490137800002E-2</v>
      </c>
      <c r="G648">
        <v>-0.116080990713319</v>
      </c>
      <c r="H648">
        <v>-0.15677993539150001</v>
      </c>
      <c r="I648">
        <v>2.7703567733147E-2</v>
      </c>
    </row>
    <row r="649" spans="1:9" x14ac:dyDescent="0.2">
      <c r="A649" s="1" t="s">
        <v>649</v>
      </c>
      <c r="B649" t="str">
        <f>HYPERLINK("https://www.suredividend.com/sure-analysis-research-database/","First Bancorp PR")</f>
        <v>First Bancorp PR</v>
      </c>
      <c r="C649">
        <v>5.6543837357051013E-2</v>
      </c>
      <c r="D649">
        <v>0.10514493813049</v>
      </c>
      <c r="E649">
        <v>0.199552782486384</v>
      </c>
      <c r="F649">
        <v>1.0942249240121001E-2</v>
      </c>
      <c r="G649">
        <v>0.19472682208412601</v>
      </c>
      <c r="H649">
        <v>0.25577672395565798</v>
      </c>
      <c r="I649">
        <v>0.6596309491731781</v>
      </c>
    </row>
    <row r="650" spans="1:9" x14ac:dyDescent="0.2">
      <c r="A650" s="1" t="s">
        <v>650</v>
      </c>
      <c r="B650" t="str">
        <f>HYPERLINK("https://www.suredividend.com/sure-analysis-research-database/","Franklin BSP Realty Trust Inc.")</f>
        <v>Franklin BSP Realty Trust Inc.</v>
      </c>
      <c r="C650">
        <v>-5.5762081784386013E-2</v>
      </c>
      <c r="D650">
        <v>-3.7652965171E-3</v>
      </c>
      <c r="E650">
        <v>1.3798541297060001E-3</v>
      </c>
      <c r="F650">
        <v>-5.9955588452997012E-2</v>
      </c>
      <c r="G650">
        <v>-2.5834560628375001E-2</v>
      </c>
      <c r="H650">
        <v>0.189662117223871</v>
      </c>
      <c r="I650">
        <v>-4.9991397559899002E-2</v>
      </c>
    </row>
    <row r="651" spans="1:9" x14ac:dyDescent="0.2">
      <c r="A651" s="1" t="s">
        <v>651</v>
      </c>
      <c r="B651" t="str">
        <f>HYPERLINK("https://www.suredividend.com/sure-analysis-research-database/","Franklin Covey Co.")</f>
        <v>Franklin Covey Co.</v>
      </c>
      <c r="C651">
        <v>-6.7710843373493007E-2</v>
      </c>
      <c r="D651">
        <v>-1.4267515923565999E-2</v>
      </c>
      <c r="E651">
        <v>-0.141557577102285</v>
      </c>
      <c r="F651">
        <v>-0.11118768665288301</v>
      </c>
      <c r="G651">
        <v>-0.21169519152404201</v>
      </c>
      <c r="H651">
        <v>-0.17134289997858199</v>
      </c>
      <c r="I651">
        <v>0.49787069299264403</v>
      </c>
    </row>
    <row r="652" spans="1:9" x14ac:dyDescent="0.2">
      <c r="A652" s="1" t="s">
        <v>652</v>
      </c>
      <c r="B652" t="str">
        <f>HYPERLINK("https://www.suredividend.com/sure-analysis-research-database/","First Community Bankshares Inc.")</f>
        <v>First Community Bankshares Inc.</v>
      </c>
      <c r="C652">
        <v>-6.6622357717703001E-2</v>
      </c>
      <c r="D652">
        <v>-2.6832898471253998E-2</v>
      </c>
      <c r="E652">
        <v>5.2861468855836001E-2</v>
      </c>
      <c r="F652">
        <v>-0.11392023087453</v>
      </c>
      <c r="G652">
        <v>7.6286378812819008E-2</v>
      </c>
      <c r="H652">
        <v>0.21010040461561399</v>
      </c>
      <c r="I652">
        <v>0.107586798114016</v>
      </c>
    </row>
    <row r="653" spans="1:9" x14ac:dyDescent="0.2">
      <c r="A653" s="1" t="s">
        <v>653</v>
      </c>
      <c r="B653" t="str">
        <f>HYPERLINK("https://www.suredividend.com/sure-analysis-research-database/","First Community Corp.")</f>
        <v>First Community Corp.</v>
      </c>
      <c r="C653">
        <v>-9.2980481510967009E-2</v>
      </c>
      <c r="D653">
        <v>-4.9296179920122002E-2</v>
      </c>
      <c r="E653">
        <v>-2.5334230120240001E-2</v>
      </c>
      <c r="F653">
        <v>-0.22062604675300099</v>
      </c>
      <c r="G653">
        <v>-0.10924188504259599</v>
      </c>
      <c r="H653">
        <v>-0.116799520976011</v>
      </c>
      <c r="I653">
        <v>-3.4392462182319013E-2</v>
      </c>
    </row>
    <row r="654" spans="1:9" x14ac:dyDescent="0.2">
      <c r="A654" s="1" t="s">
        <v>654</v>
      </c>
      <c r="B654" t="str">
        <f>HYPERLINK("https://www.suredividend.com/sure-analysis-research-database/","Fuelcell Energy Inc")</f>
        <v>Fuelcell Energy Inc</v>
      </c>
      <c r="C654">
        <v>0.11587982832618</v>
      </c>
      <c r="D654">
        <v>4.8387096774193013E-2</v>
      </c>
      <c r="E654">
        <v>-0.19254658385093101</v>
      </c>
      <c r="F654">
        <v>-0.1875</v>
      </c>
      <c r="G654">
        <v>-0.63585434173669408</v>
      </c>
      <c r="H654">
        <v>-0.74051896207584811</v>
      </c>
      <c r="I654">
        <v>-0.87689393939393911</v>
      </c>
    </row>
    <row r="655" spans="1:9" x14ac:dyDescent="0.2">
      <c r="A655" s="1" t="s">
        <v>655</v>
      </c>
      <c r="B655" t="str">
        <f>HYPERLINK("https://www.suredividend.com/sure-analysis-research-database/","First Commonwealth Financial Corp.")</f>
        <v>First Commonwealth Financial Corp.</v>
      </c>
      <c r="C655">
        <v>-6.6325038642028003E-2</v>
      </c>
      <c r="D655">
        <v>1.71497053224E-2</v>
      </c>
      <c r="E655">
        <v>1.7697771841417999E-2</v>
      </c>
      <c r="F655">
        <v>-0.12316836344377</v>
      </c>
      <c r="G655">
        <v>-0.15131953673818099</v>
      </c>
      <c r="H655">
        <v>-0.122497055359246</v>
      </c>
      <c r="I655">
        <v>0.12876887594484901</v>
      </c>
    </row>
    <row r="656" spans="1:9" x14ac:dyDescent="0.2">
      <c r="A656" s="1" t="s">
        <v>656</v>
      </c>
      <c r="B656" t="str">
        <f>HYPERLINK("https://www.suredividend.com/sure-analysis-research-database/","FirstCash Holdings Inc")</f>
        <v>FirstCash Holdings Inc</v>
      </c>
      <c r="C656">
        <v>4.5123824937526001E-2</v>
      </c>
      <c r="D656">
        <v>5.0895909598039003E-2</v>
      </c>
      <c r="E656">
        <v>0.30644465908445201</v>
      </c>
      <c r="F656">
        <v>8.8320346866728003E-2</v>
      </c>
      <c r="G656">
        <v>0.31785367520138003</v>
      </c>
      <c r="H656">
        <v>0.59481803135781808</v>
      </c>
      <c r="I656">
        <v>0.87344538540064109</v>
      </c>
    </row>
    <row r="657" spans="1:9" x14ac:dyDescent="0.2">
      <c r="A657" s="1" t="s">
        <v>657</v>
      </c>
      <c r="B657" t="str">
        <f>HYPERLINK("https://www.suredividend.com/sure-analysis-FCPT/","Four Corners Property Trust Inc")</f>
        <v>Four Corners Property Trust Inc</v>
      </c>
      <c r="C657">
        <v>-1.4913007456502999E-2</v>
      </c>
      <c r="D657">
        <v>5.6241061038117997E-2</v>
      </c>
      <c r="E657">
        <v>-1.4504765851636001E-2</v>
      </c>
      <c r="F657">
        <v>-6.0079051383399001E-2</v>
      </c>
      <c r="G657">
        <v>-0.11642527514175</v>
      </c>
      <c r="H657">
        <v>7.170477791848001E-3</v>
      </c>
      <c r="I657">
        <v>0.100273911755996</v>
      </c>
    </row>
    <row r="658" spans="1:9" x14ac:dyDescent="0.2">
      <c r="A658" s="1" t="s">
        <v>658</v>
      </c>
      <c r="B658" t="str">
        <f>HYPERLINK("https://www.suredividend.com/sure-analysis-research-database/","Fidelity D&amp;D Bancorp, Inc.")</f>
        <v>Fidelity D&amp;D Bancorp, Inc.</v>
      </c>
      <c r="C658">
        <v>8.8055664756890011E-3</v>
      </c>
      <c r="D658">
        <v>-8.6240881380601001E-2</v>
      </c>
      <c r="E658">
        <v>5.0744986250365998E-2</v>
      </c>
      <c r="F658">
        <v>-0.17772719313605301</v>
      </c>
      <c r="G658">
        <v>-1.4749386316429001E-2</v>
      </c>
      <c r="H658">
        <v>3.6011092554883002E-2</v>
      </c>
      <c r="I658">
        <v>-6.4778432547941009E-2</v>
      </c>
    </row>
    <row r="659" spans="1:9" x14ac:dyDescent="0.2">
      <c r="A659" s="1" t="s">
        <v>659</v>
      </c>
      <c r="B659" t="str">
        <f>HYPERLINK("https://www.suredividend.com/sure-analysis-research-database/","4D Molecular Therapeutics Inc")</f>
        <v>4D Molecular Therapeutics Inc</v>
      </c>
      <c r="C659">
        <v>0.60833822665883708</v>
      </c>
      <c r="D659">
        <v>1.2106537530266339</v>
      </c>
      <c r="E659">
        <v>0.70760598503740602</v>
      </c>
      <c r="F659">
        <v>0.351924975320829</v>
      </c>
      <c r="G659">
        <v>0.30366492146596802</v>
      </c>
      <c r="H659">
        <v>0.96062992125984203</v>
      </c>
      <c r="I659">
        <v>-0.32370370370370299</v>
      </c>
    </row>
    <row r="660" spans="1:9" x14ac:dyDescent="0.2">
      <c r="A660" s="1" t="s">
        <v>660</v>
      </c>
      <c r="B660" t="str">
        <f>HYPERLINK("https://www.suredividend.com/sure-analysis-research-database/","Fresh Del Monte Produce Inc")</f>
        <v>Fresh Del Monte Produce Inc</v>
      </c>
      <c r="C660">
        <v>-4.3199999999999003E-2</v>
      </c>
      <c r="D660">
        <v>2.0913358941528001E-2</v>
      </c>
      <c r="E660">
        <v>-9.5426458019770011E-2</v>
      </c>
      <c r="F660">
        <v>-8.8761904761904001E-2</v>
      </c>
      <c r="G660">
        <v>-0.14688427299703199</v>
      </c>
      <c r="H660">
        <v>-0.12681609111484199</v>
      </c>
      <c r="I660">
        <v>-6.1802578474017003E-2</v>
      </c>
    </row>
    <row r="661" spans="1:9" x14ac:dyDescent="0.2">
      <c r="A661" s="1" t="s">
        <v>661</v>
      </c>
      <c r="B661" t="str">
        <f>HYPERLINK("https://www.suredividend.com/sure-analysis-research-database/","5E Advanced Materials Inc")</f>
        <v>5E Advanced Materials Inc</v>
      </c>
      <c r="C661">
        <v>-2.9166666666666001E-2</v>
      </c>
      <c r="D661">
        <v>-0.42039800995024801</v>
      </c>
      <c r="E661">
        <v>-0.59548611111111105</v>
      </c>
      <c r="F661">
        <v>-0.17375886524822601</v>
      </c>
      <c r="G661">
        <v>-0.85025706940874002</v>
      </c>
      <c r="H661">
        <v>-0.96470766434413813</v>
      </c>
      <c r="I661">
        <v>-0.96470766434413813</v>
      </c>
    </row>
    <row r="662" spans="1:9" x14ac:dyDescent="0.2">
      <c r="A662" s="1" t="s">
        <v>662</v>
      </c>
      <c r="B662" t="str">
        <f>HYPERLINK("https://www.suredividend.com/sure-analysis-FELE/","Franklin Electric Co., Inc.")</f>
        <v>Franklin Electric Co., Inc.</v>
      </c>
      <c r="C662">
        <v>5.3536713820016013E-2</v>
      </c>
      <c r="D662">
        <v>0.115585558614387</v>
      </c>
      <c r="E662">
        <v>7.459618622431001E-2</v>
      </c>
      <c r="F662">
        <v>3.0863504187103E-2</v>
      </c>
      <c r="G662">
        <v>4.8580417612596002E-2</v>
      </c>
      <c r="H662">
        <v>0.21434425777617599</v>
      </c>
      <c r="I662">
        <v>0.92564732212240808</v>
      </c>
    </row>
    <row r="663" spans="1:9" x14ac:dyDescent="0.2">
      <c r="A663" s="1" t="s">
        <v>663</v>
      </c>
      <c r="B663" t="str">
        <f>HYPERLINK("https://www.suredividend.com/sure-analysis-research-database/","Fennec Pharmaceuticals Inc")</f>
        <v>Fennec Pharmaceuticals Inc</v>
      </c>
      <c r="C663">
        <v>-0.11888111888111801</v>
      </c>
      <c r="D663">
        <v>3.2786885245901003E-2</v>
      </c>
      <c r="E663">
        <v>0.126436781609195</v>
      </c>
      <c r="F663">
        <v>-0.21390374331550799</v>
      </c>
      <c r="G663">
        <v>-3.5010940919036997E-2</v>
      </c>
      <c r="H663">
        <v>0.8110882956878851</v>
      </c>
      <c r="I663">
        <v>0.22841225626740899</v>
      </c>
    </row>
    <row r="664" spans="1:9" x14ac:dyDescent="0.2">
      <c r="A664" s="1" t="s">
        <v>664</v>
      </c>
      <c r="B664" t="str">
        <f>HYPERLINK("https://www.suredividend.com/sure-analysis-research-database/","Forum Energy Technologies Inc")</f>
        <v>Forum Energy Technologies Inc</v>
      </c>
      <c r="C664">
        <v>-7.4018877297565011E-2</v>
      </c>
      <c r="D664">
        <v>-0.175221238938053</v>
      </c>
      <c r="E664">
        <v>-0.23575235752357501</v>
      </c>
      <c r="F664">
        <v>-0.15922417681551601</v>
      </c>
      <c r="G664">
        <v>-0.41198738170346999</v>
      </c>
      <c r="H664">
        <v>-1.5839493136219001E-2</v>
      </c>
      <c r="I664">
        <v>-0.8592145015105741</v>
      </c>
    </row>
    <row r="665" spans="1:9" x14ac:dyDescent="0.2">
      <c r="A665" s="1" t="s">
        <v>665</v>
      </c>
      <c r="B665" t="str">
        <f>HYPERLINK("https://www.suredividend.com/sure-analysis-research-database/","Futurefuel Corp")</f>
        <v>Futurefuel Corp</v>
      </c>
      <c r="C665">
        <v>3.7567084078710997E-2</v>
      </c>
      <c r="D665">
        <v>-5.3524804177545002E-2</v>
      </c>
      <c r="E665">
        <v>-0.191874155299494</v>
      </c>
      <c r="F665">
        <v>-4.6052631578947012E-2</v>
      </c>
      <c r="G665">
        <v>-0.34262722430012399</v>
      </c>
      <c r="H665">
        <v>-0.156572193057716</v>
      </c>
      <c r="I665">
        <v>-0.45920241680575102</v>
      </c>
    </row>
    <row r="666" spans="1:9" x14ac:dyDescent="0.2">
      <c r="A666" s="1" t="s">
        <v>666</v>
      </c>
      <c r="B666" t="str">
        <f>HYPERLINK("https://www.suredividend.com/sure-analysis-research-database/","First Financial Bancorp")</f>
        <v>First Financial Bancorp</v>
      </c>
      <c r="C666">
        <v>-3.5324901875272E-2</v>
      </c>
      <c r="D666">
        <v>9.0326555760936011E-2</v>
      </c>
      <c r="E666">
        <v>7.5331544354995006E-2</v>
      </c>
      <c r="F666">
        <v>-6.8631578947368002E-2</v>
      </c>
      <c r="G666">
        <v>-6.3449992802282001E-2</v>
      </c>
      <c r="H666">
        <v>-1.9225312145289001E-2</v>
      </c>
      <c r="I666">
        <v>-5.6728789635980001E-3</v>
      </c>
    </row>
    <row r="667" spans="1:9" x14ac:dyDescent="0.2">
      <c r="A667" s="1" t="s">
        <v>667</v>
      </c>
      <c r="B667" t="str">
        <f>HYPERLINK("https://www.suredividend.com/sure-analysis-research-database/","Flushing Financial Corp.")</f>
        <v>Flushing Financial Corp.</v>
      </c>
      <c r="C667">
        <v>-0.15762925598991101</v>
      </c>
      <c r="D667">
        <v>-3.6943593440259E-2</v>
      </c>
      <c r="E667">
        <v>-3.4263408992336999E-2</v>
      </c>
      <c r="F667">
        <v>-0.18932038834951401</v>
      </c>
      <c r="G667">
        <v>-0.24636863629953401</v>
      </c>
      <c r="H667">
        <v>-0.34396283765535401</v>
      </c>
      <c r="I667">
        <v>-0.24585814682057999</v>
      </c>
    </row>
    <row r="668" spans="1:9" x14ac:dyDescent="0.2">
      <c r="A668" s="1" t="s">
        <v>668</v>
      </c>
      <c r="B668" t="str">
        <f>HYPERLINK("https://www.suredividend.com/sure-analysis-FFIN/","First Financial Bankshares, Inc.")</f>
        <v>First Financial Bankshares, Inc.</v>
      </c>
      <c r="C668">
        <v>8.7239137872049011E-2</v>
      </c>
      <c r="D668">
        <v>0.180184194890077</v>
      </c>
      <c r="E668">
        <v>0.105337479218403</v>
      </c>
      <c r="F668">
        <v>4.8844884488448002E-2</v>
      </c>
      <c r="G668">
        <v>-0.132535382347722</v>
      </c>
      <c r="H668">
        <v>-0.28790217953917502</v>
      </c>
      <c r="I668">
        <v>9.5869626687080003E-2</v>
      </c>
    </row>
    <row r="669" spans="1:9" x14ac:dyDescent="0.2">
      <c r="A669" s="1" t="s">
        <v>669</v>
      </c>
      <c r="B669" t="str">
        <f>HYPERLINK("https://www.suredividend.com/sure-analysis-research-database/","First Foundation Inc")</f>
        <v>First Foundation Inc</v>
      </c>
      <c r="C669">
        <v>-0.221254271550272</v>
      </c>
      <c r="D669">
        <v>0.32336583131584101</v>
      </c>
      <c r="E669">
        <v>0.101894604938776</v>
      </c>
      <c r="F669">
        <v>-0.16333136835138001</v>
      </c>
      <c r="G669">
        <v>-0.46769311751546211</v>
      </c>
      <c r="H669">
        <v>-0.68705756748183811</v>
      </c>
      <c r="I669">
        <v>-0.43190595901857998</v>
      </c>
    </row>
    <row r="670" spans="1:9" x14ac:dyDescent="0.2">
      <c r="A670" s="1" t="s">
        <v>670</v>
      </c>
      <c r="B670" t="str">
        <f>HYPERLINK("https://www.suredividend.com/sure-analysis-research-database/","F&amp;G Annuities &amp; Life Inc")</f>
        <v>F&amp;G Annuities &amp; Life Inc</v>
      </c>
      <c r="C670">
        <v>2.0613834173156001E-2</v>
      </c>
      <c r="D670">
        <v>8.3997654906329003E-2</v>
      </c>
      <c r="E670">
        <v>0.53623388264497007</v>
      </c>
      <c r="F670">
        <v>-3.1304347826086001E-2</v>
      </c>
      <c r="G670">
        <v>1.097671659777993</v>
      </c>
      <c r="H670">
        <v>1.6602985074626859</v>
      </c>
      <c r="I670">
        <v>1.6602985074626859</v>
      </c>
    </row>
    <row r="671" spans="1:9" x14ac:dyDescent="0.2">
      <c r="A671" s="1" t="s">
        <v>671</v>
      </c>
      <c r="B671" t="str">
        <f>HYPERLINK("https://www.suredividend.com/sure-analysis-research-database/","FibroGen Inc")</f>
        <v>FibroGen Inc</v>
      </c>
      <c r="C671">
        <v>1.360655737704918</v>
      </c>
      <c r="D671">
        <v>2.4020034020034018</v>
      </c>
      <c r="E671">
        <v>0.33333333333333298</v>
      </c>
      <c r="F671">
        <v>1.030915040054158</v>
      </c>
      <c r="G671">
        <v>-0.92440151196976006</v>
      </c>
      <c r="H671">
        <v>-0.87696514012303406</v>
      </c>
      <c r="I671">
        <v>-0.96866840731070403</v>
      </c>
    </row>
    <row r="672" spans="1:9" x14ac:dyDescent="0.2">
      <c r="A672" s="1" t="s">
        <v>672</v>
      </c>
      <c r="B672" t="str">
        <f>HYPERLINK("https://www.suredividend.com/sure-analysis-research-database/","Foghorn Therapeutics Inc")</f>
        <v>Foghorn Therapeutics Inc</v>
      </c>
      <c r="C672">
        <v>0.5390625</v>
      </c>
      <c r="D672">
        <v>0.43795620437956201</v>
      </c>
      <c r="E672">
        <v>-0.25189873417721498</v>
      </c>
      <c r="F672">
        <v>-8.3720930232558E-2</v>
      </c>
      <c r="G672">
        <v>-2.3140495867768E-2</v>
      </c>
      <c r="H672">
        <v>-0.43821292775665399</v>
      </c>
      <c r="I672">
        <v>-0.67384105960264906</v>
      </c>
    </row>
    <row r="673" spans="1:9" x14ac:dyDescent="0.2">
      <c r="A673" s="1" t="s">
        <v>673</v>
      </c>
      <c r="B673" t="str">
        <f>HYPERLINK("https://www.suredividend.com/sure-analysis-research-database/","First Interstate BancSystem Inc.")</f>
        <v>First Interstate BancSystem Inc.</v>
      </c>
      <c r="C673">
        <v>-6.7910402575800999E-2</v>
      </c>
      <c r="D673">
        <v>5.5254700661701003E-2</v>
      </c>
      <c r="E673">
        <v>5.2860263677729002E-2</v>
      </c>
      <c r="F673">
        <v>-0.117014923358784</v>
      </c>
      <c r="G673">
        <v>-0.182018791375721</v>
      </c>
      <c r="H673">
        <v>-0.167157291749542</v>
      </c>
      <c r="I673">
        <v>-0.13189434122490101</v>
      </c>
    </row>
    <row r="674" spans="1:9" x14ac:dyDescent="0.2">
      <c r="A674" s="1" t="s">
        <v>674</v>
      </c>
      <c r="B674" t="str">
        <f>HYPERLINK("https://www.suredividend.com/sure-analysis-research-database/","Figs Inc")</f>
        <v>Figs Inc</v>
      </c>
      <c r="C674">
        <v>5.7432432432432012E-2</v>
      </c>
      <c r="D674">
        <v>-8.6131386861313011E-2</v>
      </c>
      <c r="E674">
        <v>-5.2950075642965007E-2</v>
      </c>
      <c r="F674">
        <v>-9.9280575539568011E-2</v>
      </c>
      <c r="G674">
        <v>-0.33119658119658102</v>
      </c>
      <c r="H674">
        <v>-0.62243667068757502</v>
      </c>
      <c r="I674">
        <v>-0.79147235176548902</v>
      </c>
    </row>
    <row r="675" spans="1:9" x14ac:dyDescent="0.2">
      <c r="A675" s="1" t="s">
        <v>675</v>
      </c>
      <c r="B675" t="str">
        <f>HYPERLINK("https://www.suredividend.com/sure-analysis-research-database/","Fidelis Insurance Holdings Ltd.")</f>
        <v>Fidelis Insurance Holdings Ltd.</v>
      </c>
      <c r="C675">
        <v>5.7646116893514003E-2</v>
      </c>
      <c r="D675">
        <v>-8.2001389854065007E-2</v>
      </c>
      <c r="E675">
        <v>-1.270553064275E-2</v>
      </c>
      <c r="F675">
        <v>4.2620363062352E-2</v>
      </c>
      <c r="G675">
        <v>2.4031007751938002E-2</v>
      </c>
      <c r="H675">
        <v>2.4031007751938002E-2</v>
      </c>
      <c r="I675">
        <v>2.4031007751938002E-2</v>
      </c>
    </row>
    <row r="676" spans="1:9" x14ac:dyDescent="0.2">
      <c r="A676" s="1" t="s">
        <v>676</v>
      </c>
      <c r="B676" t="str">
        <f>HYPERLINK("https://www.suredividend.com/sure-analysis-research-database/","FTAI Infrastructure Inc")</f>
        <v>FTAI Infrastructure Inc</v>
      </c>
      <c r="C676">
        <v>0.14960629921259799</v>
      </c>
      <c r="D676">
        <v>0.20329670329670299</v>
      </c>
      <c r="E676">
        <v>0.25923583359687202</v>
      </c>
      <c r="F676">
        <v>0.12596401028277601</v>
      </c>
      <c r="G676">
        <v>0.46219328993490211</v>
      </c>
      <c r="H676">
        <v>0.77904142973192503</v>
      </c>
      <c r="I676">
        <v>0.77904142973192503</v>
      </c>
    </row>
    <row r="677" spans="1:9" x14ac:dyDescent="0.2">
      <c r="A677" s="1" t="s">
        <v>677</v>
      </c>
      <c r="B677" t="str">
        <f>HYPERLINK("https://www.suredividend.com/sure-analysis-FISI/","Financial Institutions Inc.")</f>
        <v>Financial Institutions Inc.</v>
      </c>
      <c r="C677">
        <v>-0.14305177111716599</v>
      </c>
      <c r="D677">
        <v>8.8982635141763008E-2</v>
      </c>
      <c r="E677">
        <v>0.11093449195499699</v>
      </c>
      <c r="F677">
        <v>-0.11408450704225299</v>
      </c>
      <c r="G677">
        <v>-0.16668506701406499</v>
      </c>
      <c r="H677">
        <v>-0.30728906640039899</v>
      </c>
      <c r="I677">
        <v>-0.174248093156367</v>
      </c>
    </row>
    <row r="678" spans="1:9" x14ac:dyDescent="0.2">
      <c r="A678" s="1" t="s">
        <v>678</v>
      </c>
      <c r="B678" t="str">
        <f>HYPERLINK("https://www.suredividend.com/sure-analysis-research-database/","Comfort Systems USA, Inc.")</f>
        <v>Comfort Systems USA, Inc.</v>
      </c>
      <c r="C678">
        <v>0.20664386907669699</v>
      </c>
      <c r="D678">
        <v>0.27201565557729901</v>
      </c>
      <c r="E678">
        <v>0.39942629187726503</v>
      </c>
      <c r="F678">
        <v>0.20095298293382599</v>
      </c>
      <c r="G678">
        <v>0.9449906254601631</v>
      </c>
      <c r="H678">
        <v>1.8299271093268441</v>
      </c>
      <c r="I678">
        <v>3.9536622003485609</v>
      </c>
    </row>
    <row r="679" spans="1:9" x14ac:dyDescent="0.2">
      <c r="A679" s="1" t="s">
        <v>679</v>
      </c>
      <c r="B679" t="str">
        <f>HYPERLINK("https://www.suredividend.com/sure-analysis-research-database/","National Beverage Corp.")</f>
        <v>National Beverage Corp.</v>
      </c>
      <c r="C679">
        <v>7.1489361702127011E-2</v>
      </c>
      <c r="D679">
        <v>4.9604001667361002E-2</v>
      </c>
      <c r="E679">
        <v>-7.0505721668512003E-2</v>
      </c>
      <c r="F679">
        <v>1.2872083668543E-2</v>
      </c>
      <c r="G679">
        <v>9.0751570283734012E-2</v>
      </c>
      <c r="H679">
        <v>0.18689606410558501</v>
      </c>
      <c r="I679">
        <v>0.55890146355959403</v>
      </c>
    </row>
    <row r="680" spans="1:9" x14ac:dyDescent="0.2">
      <c r="A680" s="1" t="s">
        <v>680</v>
      </c>
      <c r="B680" t="str">
        <f>HYPERLINK("https://www.suredividend.com/sure-analysis-research-database/","Foot Locker Inc")</f>
        <v>Foot Locker Inc</v>
      </c>
      <c r="C680">
        <v>0.23266388783630099</v>
      </c>
      <c r="D680">
        <v>0.39793725827245302</v>
      </c>
      <c r="E680">
        <v>0.31231795773795601</v>
      </c>
      <c r="F680">
        <v>4.4301765650079997E-2</v>
      </c>
      <c r="G680">
        <v>-0.23011748222619799</v>
      </c>
      <c r="H680">
        <v>-0.15027114004200301</v>
      </c>
      <c r="I680">
        <v>-0.35402261417297798</v>
      </c>
    </row>
    <row r="681" spans="1:9" x14ac:dyDescent="0.2">
      <c r="A681" s="1" t="s">
        <v>681</v>
      </c>
      <c r="B681" t="str">
        <f>HYPERLINK("https://www.suredividend.com/sure-analysis-research-database/","Fulgent Genetics Inc")</f>
        <v>Fulgent Genetics Inc</v>
      </c>
      <c r="C681">
        <v>-5.1948051948051001E-2</v>
      </c>
      <c r="D681">
        <v>-0.10137581462708101</v>
      </c>
      <c r="E681">
        <v>-0.26218787158145002</v>
      </c>
      <c r="F681">
        <v>-0.14147353856796899</v>
      </c>
      <c r="G681">
        <v>-0.252409638554216</v>
      </c>
      <c r="H681">
        <v>-0.61127642913077507</v>
      </c>
      <c r="I681">
        <v>4.7720930232558141</v>
      </c>
    </row>
    <row r="682" spans="1:9" x14ac:dyDescent="0.2">
      <c r="A682" s="1" t="s">
        <v>682</v>
      </c>
      <c r="B682" t="str">
        <f>HYPERLINK("https://www.suredividend.com/sure-analysis-FLIC/","First Of Long Island Corp.")</f>
        <v>First Of Long Island Corp.</v>
      </c>
      <c r="C682">
        <v>-9.3322606596942012E-2</v>
      </c>
      <c r="D682">
        <v>-5.6818181818180007E-3</v>
      </c>
      <c r="E682">
        <v>-0.10968914168345301</v>
      </c>
      <c r="F682">
        <v>-0.148791540785498</v>
      </c>
      <c r="G682">
        <v>-0.28867176651770998</v>
      </c>
      <c r="H682">
        <v>-0.42868729881124301</v>
      </c>
      <c r="I682">
        <v>-0.37196640828313299</v>
      </c>
    </row>
    <row r="683" spans="1:9" x14ac:dyDescent="0.2">
      <c r="A683" s="1" t="s">
        <v>683</v>
      </c>
      <c r="B683" t="str">
        <f>HYPERLINK("https://www.suredividend.com/sure-analysis-research-database/","Full House Resorts, Inc.")</f>
        <v>Full House Resorts, Inc.</v>
      </c>
      <c r="C683">
        <v>-1.4893617021276E-2</v>
      </c>
      <c r="D683">
        <v>-0.136194029850746</v>
      </c>
      <c r="E683">
        <v>-8.1349206349206005E-2</v>
      </c>
      <c r="F683">
        <v>-0.13780260707635</v>
      </c>
      <c r="G683">
        <v>-0.54021847070506401</v>
      </c>
      <c r="H683">
        <v>-0.47085714285714197</v>
      </c>
      <c r="I683">
        <v>1.1238532110091739</v>
      </c>
    </row>
    <row r="684" spans="1:9" x14ac:dyDescent="0.2">
      <c r="A684" s="1" t="s">
        <v>684</v>
      </c>
      <c r="B684" t="str">
        <f>HYPERLINK("https://www.suredividend.com/sure-analysis-research-database/","Fluence Energy Inc")</f>
        <v>Fluence Energy Inc</v>
      </c>
      <c r="C684">
        <v>-0.109327983951855</v>
      </c>
      <c r="D684">
        <v>-7.8360145303580001E-2</v>
      </c>
      <c r="E684">
        <v>-0.222076215505913</v>
      </c>
      <c r="F684">
        <v>-0.25534591194968498</v>
      </c>
      <c r="G684">
        <v>-0.128129602356406</v>
      </c>
      <c r="H684">
        <v>0.46052631578947312</v>
      </c>
      <c r="I684">
        <v>-0.49257142857142799</v>
      </c>
    </row>
    <row r="685" spans="1:9" x14ac:dyDescent="0.2">
      <c r="A685" s="1" t="s">
        <v>685</v>
      </c>
      <c r="B685" t="str">
        <f>HYPERLINK("https://www.suredividend.com/sure-analysis-research-database/","Flex Lng Ltd")</f>
        <v>Flex Lng Ltd</v>
      </c>
      <c r="C685">
        <v>-9.7734190057490011E-2</v>
      </c>
      <c r="D685">
        <v>-0.123193311555576</v>
      </c>
      <c r="E685">
        <v>-0.103669311760476</v>
      </c>
      <c r="F685">
        <v>-8.1899518238128008E-2</v>
      </c>
      <c r="G685">
        <v>-0.172674698047971</v>
      </c>
      <c r="H685">
        <v>0.49257906249475503</v>
      </c>
      <c r="I685">
        <v>2.3464616310864712</v>
      </c>
    </row>
    <row r="686" spans="1:9" x14ac:dyDescent="0.2">
      <c r="A686" s="1" t="s">
        <v>686</v>
      </c>
      <c r="B686" t="str">
        <f>HYPERLINK("https://www.suredividend.com/sure-analysis-research-database/","Fluor Corporation")</f>
        <v>Fluor Corporation</v>
      </c>
      <c r="C686">
        <v>-5.6848944233890003E-3</v>
      </c>
      <c r="D686">
        <v>-4.1742760240020001E-2</v>
      </c>
      <c r="E686">
        <v>9.9700598802395013E-2</v>
      </c>
      <c r="F686">
        <v>-6.2292570845034007E-2</v>
      </c>
      <c r="G686">
        <v>2.182810368349E-3</v>
      </c>
      <c r="H686">
        <v>0.7424098671726751</v>
      </c>
      <c r="I686">
        <v>1.4912835759858E-2</v>
      </c>
    </row>
    <row r="687" spans="1:9" x14ac:dyDescent="0.2">
      <c r="A687" s="1" t="s">
        <v>687</v>
      </c>
      <c r="B687" t="str">
        <f>HYPERLINK("https://www.suredividend.com/sure-analysis-research-database/","1-800 Flowers.com Inc.")</f>
        <v>1-800 Flowers.com Inc.</v>
      </c>
      <c r="C687">
        <v>-2.4413145539905999E-2</v>
      </c>
      <c r="D687">
        <v>0.19151376146788901</v>
      </c>
      <c r="E687">
        <v>0.35110533159947899</v>
      </c>
      <c r="F687">
        <v>-3.6178107606678001E-2</v>
      </c>
      <c r="G687">
        <v>-3.8852913968547002E-2</v>
      </c>
      <c r="H687">
        <v>-0.33440102498398411</v>
      </c>
      <c r="I687">
        <v>-0.404925544100801</v>
      </c>
    </row>
    <row r="688" spans="1:9" x14ac:dyDescent="0.2">
      <c r="A688" s="1" t="s">
        <v>688</v>
      </c>
      <c r="B688" t="str">
        <f>HYPERLINK("https://www.suredividend.com/sure-analysis-research-database/","Flywire Corp")</f>
        <v>Flywire Corp</v>
      </c>
      <c r="C688">
        <v>0.15116279069767399</v>
      </c>
      <c r="D688">
        <v>-2.4003429061294001E-2</v>
      </c>
      <c r="E688">
        <v>-0.27229146692233902</v>
      </c>
      <c r="F688">
        <v>-1.6414686825052999E-2</v>
      </c>
      <c r="G688">
        <v>-5.2039966694421007E-2</v>
      </c>
      <c r="H688">
        <v>-0.12017001545595001</v>
      </c>
      <c r="I688">
        <v>-0.35128205128205098</v>
      </c>
    </row>
    <row r="689" spans="1:9" x14ac:dyDescent="0.2">
      <c r="A689" s="1" t="s">
        <v>689</v>
      </c>
      <c r="B689" t="str">
        <f>HYPERLINK("https://www.suredividend.com/sure-analysis-FMAO/","Farmers &amp; Merchants Bancorp Inc.")</f>
        <v>Farmers &amp; Merchants Bancorp Inc.</v>
      </c>
      <c r="C689">
        <v>-4.0194346289752013E-2</v>
      </c>
      <c r="D689">
        <v>0.134879931478947</v>
      </c>
      <c r="E689">
        <v>0.17783523315500399</v>
      </c>
      <c r="F689">
        <v>-0.123790322580645</v>
      </c>
      <c r="G689">
        <v>-0.13932413377905201</v>
      </c>
      <c r="H689">
        <v>-0.29234146071404099</v>
      </c>
      <c r="I689">
        <v>-0.18215109692619699</v>
      </c>
    </row>
    <row r="690" spans="1:9" x14ac:dyDescent="0.2">
      <c r="A690" s="1" t="s">
        <v>690</v>
      </c>
      <c r="B690" t="str">
        <f>HYPERLINK("https://www.suredividend.com/sure-analysis-FMBH/","First Mid Bancshares Inc.")</f>
        <v>First Mid Bancshares Inc.</v>
      </c>
      <c r="C690">
        <v>-3.8939364106025998E-2</v>
      </c>
      <c r="D690">
        <v>5.7302091918830008E-3</v>
      </c>
      <c r="E690">
        <v>0.11866182580161599</v>
      </c>
      <c r="F690">
        <v>-9.9386704311814011E-2</v>
      </c>
      <c r="G690">
        <v>1.7043331007086999E-2</v>
      </c>
      <c r="H690">
        <v>-0.17575348193894899</v>
      </c>
      <c r="I690">
        <v>1.9444030036302001E-2</v>
      </c>
    </row>
    <row r="691" spans="1:9" x14ac:dyDescent="0.2">
      <c r="A691" s="1" t="s">
        <v>691</v>
      </c>
      <c r="B691" t="str">
        <f>HYPERLINK("https://www.suredividend.com/sure-analysis-research-database/","Farmers National Banc Corp.")</f>
        <v>Farmers National Banc Corp.</v>
      </c>
      <c r="C691">
        <v>4.6597633136093997E-2</v>
      </c>
      <c r="D691">
        <v>0.160816098837543</v>
      </c>
      <c r="E691">
        <v>0.14594384470233801</v>
      </c>
      <c r="F691">
        <v>-2.0761245674740001E-2</v>
      </c>
      <c r="G691">
        <v>8.1275217019195004E-2</v>
      </c>
      <c r="H691">
        <v>-6.3248904365326E-2</v>
      </c>
      <c r="I691">
        <v>0.22128048885743301</v>
      </c>
    </row>
    <row r="692" spans="1:9" x14ac:dyDescent="0.2">
      <c r="A692" s="1" t="s">
        <v>692</v>
      </c>
      <c r="B692" t="str">
        <f>HYPERLINK("https://www.suredividend.com/sure-analysis-research-database/","Fabrinet")</f>
        <v>Fabrinet</v>
      </c>
      <c r="C692">
        <v>-9.1008120419885014E-2</v>
      </c>
      <c r="D692">
        <v>7.2438368968337011E-2</v>
      </c>
      <c r="E692">
        <v>0.55774289350869699</v>
      </c>
      <c r="F692">
        <v>-3.5464719171963997E-2</v>
      </c>
      <c r="G692">
        <v>0.48925123712176499</v>
      </c>
      <c r="H692">
        <v>0.80351704489635511</v>
      </c>
      <c r="I692">
        <v>2.2377425044091712</v>
      </c>
    </row>
    <row r="693" spans="1:9" x14ac:dyDescent="0.2">
      <c r="A693" s="1" t="s">
        <v>693</v>
      </c>
      <c r="B693" t="str">
        <f>HYPERLINK("https://www.suredividend.com/sure-analysis-research-database/","Paragon 28 Inc")</f>
        <v>Paragon 28 Inc</v>
      </c>
      <c r="C693">
        <v>0.21719858156028299</v>
      </c>
      <c r="D693">
        <v>0.32273603082851599</v>
      </c>
      <c r="E693">
        <v>7.3367571533379996E-3</v>
      </c>
      <c r="F693">
        <v>0.10458567980691801</v>
      </c>
      <c r="G693">
        <v>-0.236373748609566</v>
      </c>
      <c r="H693">
        <v>-6.1517429938482013E-2</v>
      </c>
      <c r="I693">
        <v>-0.26616782469267702</v>
      </c>
    </row>
    <row r="694" spans="1:9" x14ac:dyDescent="0.2">
      <c r="A694" s="1" t="s">
        <v>694</v>
      </c>
      <c r="B694" t="str">
        <f>HYPERLINK("https://www.suredividend.com/sure-analysis-research-database/","Funko Inc")</f>
        <v>Funko Inc</v>
      </c>
      <c r="C694">
        <v>1.1997177134791001E-2</v>
      </c>
      <c r="D694">
        <v>4.9780380673499013E-2</v>
      </c>
      <c r="E694">
        <v>0.21114864864864799</v>
      </c>
      <c r="F694">
        <v>-7.2445019404915004E-2</v>
      </c>
      <c r="G694">
        <v>-0.37434554973821998</v>
      </c>
      <c r="H694">
        <v>-0.584829183555298</v>
      </c>
      <c r="I694">
        <v>-0.62539184952978</v>
      </c>
    </row>
    <row r="695" spans="1:9" x14ac:dyDescent="0.2">
      <c r="A695" s="1" t="s">
        <v>695</v>
      </c>
      <c r="B695" t="str">
        <f>HYPERLINK("https://www.suredividend.com/sure-analysis-research-database/","First Bancorp Inc (ME)")</f>
        <v>First Bancorp Inc (ME)</v>
      </c>
      <c r="C695">
        <v>-6.9911162611046004E-2</v>
      </c>
      <c r="D695">
        <v>-1.6203230840884E-2</v>
      </c>
      <c r="E695">
        <v>-5.3039440855240007E-3</v>
      </c>
      <c r="F695">
        <v>-0.12532101227383799</v>
      </c>
      <c r="G695">
        <v>-0.103155714961433</v>
      </c>
      <c r="H695">
        <v>-8.2114186824831001E-2</v>
      </c>
      <c r="I695">
        <v>0.17430763153659701</v>
      </c>
    </row>
    <row r="696" spans="1:9" x14ac:dyDescent="0.2">
      <c r="A696" s="1" t="s">
        <v>696</v>
      </c>
      <c r="B696" t="str">
        <f>HYPERLINK("https://www.suredividend.com/sure-analysis-research-database/","Finance of America Companies Inc")</f>
        <v>Finance of America Companies Inc</v>
      </c>
      <c r="C696">
        <v>-6.1126520162150012E-2</v>
      </c>
      <c r="D696">
        <v>-8.3229166666666007E-2</v>
      </c>
      <c r="E696">
        <v>-0.44647798742138312</v>
      </c>
      <c r="F696">
        <v>-0.19990909090909001</v>
      </c>
      <c r="G696">
        <v>-0.43219354838709612</v>
      </c>
      <c r="H696">
        <v>-0.75887671232876708</v>
      </c>
      <c r="I696">
        <v>-0.9091275167785231</v>
      </c>
    </row>
    <row r="697" spans="1:9" x14ac:dyDescent="0.2">
      <c r="A697" s="1" t="s">
        <v>697</v>
      </c>
      <c r="B697" t="str">
        <f>HYPERLINK("https://www.suredividend.com/sure-analysis-research-database/","Amicus Therapeutics Inc")</f>
        <v>Amicus Therapeutics Inc</v>
      </c>
      <c r="C697">
        <v>0.13881961762261</v>
      </c>
      <c r="D697">
        <v>0.24094202898550701</v>
      </c>
      <c r="E697">
        <v>6.9476971116315012E-2</v>
      </c>
      <c r="F697">
        <v>-3.4531360112754997E-2</v>
      </c>
      <c r="G697">
        <v>2.9301277235160999E-2</v>
      </c>
      <c r="H697">
        <v>0.54977375565610809</v>
      </c>
      <c r="I697">
        <v>0.23534715960324601</v>
      </c>
    </row>
    <row r="698" spans="1:9" x14ac:dyDescent="0.2">
      <c r="A698" s="1" t="s">
        <v>698</v>
      </c>
      <c r="B698" t="str">
        <f>HYPERLINK("https://www.suredividend.com/sure-analysis-research-database/","Forestar Group Inc")</f>
        <v>Forestar Group Inc</v>
      </c>
      <c r="C698">
        <v>-5.8962264150943001E-2</v>
      </c>
      <c r="D698">
        <v>1.2690355329949001E-2</v>
      </c>
      <c r="E698">
        <v>0.113747383112351</v>
      </c>
      <c r="F698">
        <v>-3.4774720290293E-2</v>
      </c>
      <c r="G698">
        <v>1.254237288135593</v>
      </c>
      <c r="H698">
        <v>0.7152068780225681</v>
      </c>
      <c r="I698">
        <v>0.79325842696629201</v>
      </c>
    </row>
    <row r="699" spans="1:9" x14ac:dyDescent="0.2">
      <c r="A699" s="1" t="s">
        <v>699</v>
      </c>
      <c r="B699" t="str">
        <f>HYPERLINK("https://www.suredividend.com/sure-analysis-research-database/","FormFactor Inc.")</f>
        <v>FormFactor Inc.</v>
      </c>
      <c r="C699">
        <v>-6.3869903370255998E-2</v>
      </c>
      <c r="D699">
        <v>3.2836574892640001E-3</v>
      </c>
      <c r="E699">
        <v>0.31132386926378303</v>
      </c>
      <c r="F699">
        <v>-4.7710381203548001E-2</v>
      </c>
      <c r="G699">
        <v>0.258156477668672</v>
      </c>
      <c r="H699">
        <v>-5.4735840076154008E-2</v>
      </c>
      <c r="I699">
        <v>1.4518518518518511</v>
      </c>
    </row>
    <row r="700" spans="1:9" x14ac:dyDescent="0.2">
      <c r="A700" s="1" t="s">
        <v>700</v>
      </c>
      <c r="B700" t="str">
        <f>HYPERLINK("https://www.suredividend.com/sure-analysis-research-database/","Forrester Research Inc.")</f>
        <v>Forrester Research Inc.</v>
      </c>
      <c r="C700">
        <v>-0.185817597428686</v>
      </c>
      <c r="D700">
        <v>-0.19901185770750901</v>
      </c>
      <c r="E700">
        <v>-0.34459896507115101</v>
      </c>
      <c r="F700">
        <v>-0.24412532637075701</v>
      </c>
      <c r="G700">
        <v>-0.43755203996669401</v>
      </c>
      <c r="H700">
        <v>-0.61612047736313702</v>
      </c>
      <c r="I700">
        <v>-0.5912666397741021</v>
      </c>
    </row>
    <row r="701" spans="1:9" x14ac:dyDescent="0.2">
      <c r="A701" s="1" t="s">
        <v>701</v>
      </c>
      <c r="B701" t="str">
        <f>HYPERLINK("https://www.suredividend.com/sure-analysis-research-database/","Fossil Group Inc")</f>
        <v>Fossil Group Inc</v>
      </c>
      <c r="C701">
        <v>-0.15322580645161199</v>
      </c>
      <c r="D701">
        <v>-0.10256410256410201</v>
      </c>
      <c r="E701">
        <v>-0.47499999999999998</v>
      </c>
      <c r="F701">
        <v>-0.28082191780821902</v>
      </c>
      <c r="G701">
        <v>-0.76136363636363602</v>
      </c>
      <c r="H701">
        <v>-0.92662473794549205</v>
      </c>
      <c r="I701">
        <v>-0.92943548387096708</v>
      </c>
    </row>
    <row r="702" spans="1:9" x14ac:dyDescent="0.2">
      <c r="A702" s="1" t="s">
        <v>702</v>
      </c>
      <c r="B702" t="str">
        <f>HYPERLINK("https://www.suredividend.com/sure-analysis-research-database/","Fox Factory Holding Corp")</f>
        <v>Fox Factory Holding Corp</v>
      </c>
      <c r="C702">
        <v>0</v>
      </c>
      <c r="D702">
        <v>6.1892417368762012E-2</v>
      </c>
      <c r="E702">
        <v>-0.37119831142665211</v>
      </c>
      <c r="F702">
        <v>-2.8749259039715001E-2</v>
      </c>
      <c r="G702">
        <v>-0.46598223743175998</v>
      </c>
      <c r="H702">
        <v>-0.46075366134605811</v>
      </c>
      <c r="I702">
        <v>5.9317924680782001E-2</v>
      </c>
    </row>
    <row r="703" spans="1:9" x14ac:dyDescent="0.2">
      <c r="A703" s="1" t="s">
        <v>703</v>
      </c>
      <c r="B703" t="str">
        <f>HYPERLINK("https://www.suredividend.com/sure-analysis-research-database/","Farmland Partners Inc")</f>
        <v>Farmland Partners Inc</v>
      </c>
      <c r="C703">
        <v>-1.6593886462881999E-2</v>
      </c>
      <c r="D703">
        <v>-5.2858248376568003E-2</v>
      </c>
      <c r="E703">
        <v>6.4030843664952999E-2</v>
      </c>
      <c r="F703">
        <v>-9.7756410256410006E-2</v>
      </c>
      <c r="G703">
        <v>-6.5474856625916011E-2</v>
      </c>
      <c r="H703">
        <v>3.7941078868773001E-2</v>
      </c>
      <c r="I703">
        <v>1.3115928640348169</v>
      </c>
    </row>
    <row r="704" spans="1:9" x14ac:dyDescent="0.2">
      <c r="A704" s="1" t="s">
        <v>704</v>
      </c>
      <c r="B704" t="str">
        <f>HYPERLINK("https://www.suredividend.com/sure-analysis-research-database/","First Bank (NJ)")</f>
        <v>First Bank (NJ)</v>
      </c>
      <c r="C704">
        <v>3.2395517160860002E-3</v>
      </c>
      <c r="D704">
        <v>0.111317659039659</v>
      </c>
      <c r="E704">
        <v>0.17495257464153199</v>
      </c>
      <c r="F704">
        <v>-5.6137508752179002E-2</v>
      </c>
      <c r="G704">
        <v>2.6318539418096001E-2</v>
      </c>
      <c r="H704">
        <v>-5.8874408530200004E-4</v>
      </c>
      <c r="I704">
        <v>0.30537148499060102</v>
      </c>
    </row>
    <row r="705" spans="1:9" x14ac:dyDescent="0.2">
      <c r="A705" s="1" t="s">
        <v>705</v>
      </c>
      <c r="B705" t="str">
        <f>HYPERLINK("https://www.suredividend.com/sure-analysis-research-database/","Forge Global Holdings Inc")</f>
        <v>Forge Global Holdings Inc</v>
      </c>
      <c r="C705">
        <v>6.4864864864864008E-2</v>
      </c>
      <c r="D705">
        <v>-0.336700336700336</v>
      </c>
      <c r="E705">
        <v>-9.6330275229357012E-2</v>
      </c>
      <c r="F705">
        <v>-0.42565597667638411</v>
      </c>
      <c r="G705">
        <v>0.119318181818181</v>
      </c>
      <c r="H705">
        <v>-0.80210949271722709</v>
      </c>
      <c r="I705">
        <v>-0.80892337536372405</v>
      </c>
    </row>
    <row r="706" spans="1:9" x14ac:dyDescent="0.2">
      <c r="A706" s="1" t="s">
        <v>706</v>
      </c>
      <c r="B706" t="str">
        <f>HYPERLINK("https://www.suredividend.com/sure-analysis-research-database/","First Merchants Corp.")</f>
        <v>First Merchants Corp.</v>
      </c>
      <c r="C706">
        <v>-3.9774330042312997E-2</v>
      </c>
      <c r="D706">
        <v>9.8652826997682005E-2</v>
      </c>
      <c r="E706">
        <v>0.17409674915926501</v>
      </c>
      <c r="F706">
        <v>-8.1984897518878011E-2</v>
      </c>
      <c r="G706">
        <v>-0.12934050868613201</v>
      </c>
      <c r="H706">
        <v>-0.12568193726690799</v>
      </c>
      <c r="I706">
        <v>1.3937168065149001E-2</v>
      </c>
    </row>
    <row r="707" spans="1:9" x14ac:dyDescent="0.2">
      <c r="A707" s="1" t="s">
        <v>707</v>
      </c>
      <c r="B707" t="str">
        <f>HYPERLINK("https://www.suredividend.com/sure-analysis-research-database/","FRP Holdings Inc")</f>
        <v>FRP Holdings Inc</v>
      </c>
      <c r="C707">
        <v>6.7877142372300006E-3</v>
      </c>
      <c r="D707">
        <v>2.3636991028295001E-2</v>
      </c>
      <c r="E707">
        <v>5.0460339943342002E-2</v>
      </c>
      <c r="F707">
        <v>-5.6456743002544003E-2</v>
      </c>
      <c r="G707">
        <v>1.7667238421955E-2</v>
      </c>
      <c r="H707">
        <v>7.3263386396526006E-2</v>
      </c>
      <c r="I707">
        <v>0.115644979315532</v>
      </c>
    </row>
    <row r="708" spans="1:9" x14ac:dyDescent="0.2">
      <c r="A708" s="1" t="s">
        <v>708</v>
      </c>
      <c r="B708" t="str">
        <f>HYPERLINK("https://www.suredividend.com/sure-analysis-research-database/","Freshworks Inc")</f>
        <v>Freshworks Inc</v>
      </c>
      <c r="C708">
        <v>-1.3653483992467E-2</v>
      </c>
      <c r="D708">
        <v>0.107293868921775</v>
      </c>
      <c r="E708">
        <v>-2.3310023310022999E-2</v>
      </c>
      <c r="F708">
        <v>-0.108131119625372</v>
      </c>
      <c r="G708">
        <v>0.32931472081218199</v>
      </c>
      <c r="H708">
        <v>0.10437532946758001</v>
      </c>
      <c r="I708">
        <v>-0.55941114616193399</v>
      </c>
    </row>
    <row r="709" spans="1:9" x14ac:dyDescent="0.2">
      <c r="A709" s="1" t="s">
        <v>709</v>
      </c>
      <c r="B709" t="str">
        <f>HYPERLINK("https://www.suredividend.com/sure-analysis-research-database/","Primis Financial Corp")</f>
        <v>Primis Financial Corp</v>
      </c>
      <c r="C709">
        <v>2.6329358421384001E-2</v>
      </c>
      <c r="D709">
        <v>0.24970102846209</v>
      </c>
      <c r="E709">
        <v>0.43005394063109298</v>
      </c>
      <c r="F709">
        <v>6.8730729701950008E-3</v>
      </c>
      <c r="G709">
        <v>0.11021593434321</v>
      </c>
      <c r="H709">
        <v>-3.9904449820843013E-2</v>
      </c>
      <c r="I709">
        <v>-0.19054734878436799</v>
      </c>
    </row>
    <row r="710" spans="1:9" x14ac:dyDescent="0.2">
      <c r="A710" s="1" t="s">
        <v>710</v>
      </c>
      <c r="B710" t="str">
        <f>HYPERLINK("https://www.suredividend.com/sure-analysis-research-database/","Five Star Bancorp")</f>
        <v>Five Star Bancorp</v>
      </c>
      <c r="C710">
        <v>-1.7705902377602001E-2</v>
      </c>
      <c r="D710">
        <v>8.0829824585155002E-2</v>
      </c>
      <c r="E710">
        <v>0.104674224883075</v>
      </c>
      <c r="F710">
        <v>-6.9859566271049001E-2</v>
      </c>
      <c r="G710">
        <v>-0.100553938597314</v>
      </c>
      <c r="H710">
        <v>-0.13893522779567399</v>
      </c>
      <c r="I710">
        <v>0.105786100799675</v>
      </c>
    </row>
    <row r="711" spans="1:9" x14ac:dyDescent="0.2">
      <c r="A711" s="1" t="s">
        <v>711</v>
      </c>
      <c r="B711" t="str">
        <f>HYPERLINK("https://www.suredividend.com/sure-analysis-research-database/","FS Bancorp Inc")</f>
        <v>FS Bancorp Inc</v>
      </c>
      <c r="C711">
        <v>-2.3757254205783999E-2</v>
      </c>
      <c r="D711">
        <v>0.106617527151756</v>
      </c>
      <c r="E711">
        <v>0.112900527750353</v>
      </c>
      <c r="F711">
        <v>-6.7339567562218011E-2</v>
      </c>
      <c r="G711">
        <v>-2.8253118153307999E-2</v>
      </c>
      <c r="H711">
        <v>0.12928724767436001</v>
      </c>
      <c r="I711">
        <v>0.47373084540811011</v>
      </c>
    </row>
    <row r="712" spans="1:9" x14ac:dyDescent="0.2">
      <c r="A712" s="1" t="s">
        <v>712</v>
      </c>
      <c r="B712" t="str">
        <f>HYPERLINK("https://www.suredividend.com/sure-analysis-research-database/","Fastly Inc")</f>
        <v>Fastly Inc</v>
      </c>
      <c r="C712">
        <v>-0.20895522388059701</v>
      </c>
      <c r="D712">
        <v>-0.20853333333333299</v>
      </c>
      <c r="E712">
        <v>-0.23029045643153501</v>
      </c>
      <c r="F712">
        <v>-0.16629213483145999</v>
      </c>
      <c r="G712">
        <v>-6.6666666666666E-2</v>
      </c>
      <c r="H712">
        <v>-0.20641711229946499</v>
      </c>
      <c r="I712">
        <v>-0.38140892038349311</v>
      </c>
    </row>
    <row r="713" spans="1:9" x14ac:dyDescent="0.2">
      <c r="A713" s="1" t="s">
        <v>713</v>
      </c>
      <c r="B713" t="str">
        <f>HYPERLINK("https://www.suredividend.com/sure-analysis-research-database/","Fisker Inc")</f>
        <v>Fisker Inc</v>
      </c>
      <c r="C713">
        <v>-0.20159655347187</v>
      </c>
      <c r="D713">
        <v>-0.73187234042553206</v>
      </c>
      <c r="E713">
        <v>-0.88605786618444804</v>
      </c>
      <c r="F713">
        <v>-0.63994285714285704</v>
      </c>
      <c r="G713">
        <v>-0.9097277936962751</v>
      </c>
      <c r="H713">
        <v>-0.94596054888507708</v>
      </c>
      <c r="I713">
        <v>-0.93550665301944702</v>
      </c>
    </row>
    <row r="714" spans="1:9" x14ac:dyDescent="0.2">
      <c r="A714" s="1" t="s">
        <v>714</v>
      </c>
      <c r="B714" t="str">
        <f>HYPERLINK("https://www.suredividend.com/sure-analysis-research-database/","Federal Signal Corp.")</f>
        <v>Federal Signal Corp.</v>
      </c>
      <c r="C714">
        <v>6.3594718404741998E-2</v>
      </c>
      <c r="D714">
        <v>0.12242286364282599</v>
      </c>
      <c r="E714">
        <v>0.31101692663353903</v>
      </c>
      <c r="F714">
        <v>2.8668230388324001E-2</v>
      </c>
      <c r="G714">
        <v>0.48799369666718811</v>
      </c>
      <c r="H714">
        <v>1.144223038310263</v>
      </c>
      <c r="I714">
        <v>2.619855554281783</v>
      </c>
    </row>
    <row r="715" spans="1:9" x14ac:dyDescent="0.2">
      <c r="A715" s="1" t="s">
        <v>715</v>
      </c>
      <c r="B715" t="str">
        <f>HYPERLINK("https://www.suredividend.com/sure-analysis-research-database/","FTAI Aviation Ltd")</f>
        <v>FTAI Aviation Ltd</v>
      </c>
      <c r="C715">
        <v>5.4425837320574003E-2</v>
      </c>
      <c r="D715">
        <v>0.26652298850574702</v>
      </c>
      <c r="E715">
        <v>0.53742849169806006</v>
      </c>
      <c r="F715">
        <v>0.13987068965517199</v>
      </c>
      <c r="G715">
        <v>1.2516347660241121</v>
      </c>
      <c r="H715">
        <v>1.610446722504923</v>
      </c>
      <c r="I715">
        <v>4.6767809035194103</v>
      </c>
    </row>
    <row r="716" spans="1:9" x14ac:dyDescent="0.2">
      <c r="A716" s="1" t="s">
        <v>716</v>
      </c>
      <c r="B716" t="str">
        <f>HYPERLINK("https://www.suredividend.com/sure-analysis-research-database/","FTC Solar Inc")</f>
        <v>FTC Solar Inc</v>
      </c>
      <c r="C716">
        <v>3.1558935361215998E-2</v>
      </c>
      <c r="D716">
        <v>-2.1284271284271E-2</v>
      </c>
      <c r="E716">
        <v>-0.71886010362694308</v>
      </c>
      <c r="F716">
        <v>-0.21680138568129301</v>
      </c>
      <c r="G716">
        <v>-0.81417808219178012</v>
      </c>
      <c r="H716">
        <v>-0.85869791666666606</v>
      </c>
      <c r="I716">
        <v>-0.96194950911640908</v>
      </c>
    </row>
    <row r="717" spans="1:9" x14ac:dyDescent="0.2">
      <c r="A717" s="1" t="s">
        <v>717</v>
      </c>
      <c r="B717" t="str">
        <f>HYPERLINK("https://www.suredividend.com/sure-analysis-research-database/","Frontdoor Inc.")</f>
        <v>Frontdoor Inc.</v>
      </c>
      <c r="C717">
        <v>-3.1203120312030999E-2</v>
      </c>
      <c r="D717">
        <v>-6.5682870370370003E-2</v>
      </c>
      <c r="E717">
        <v>-1.5548780487804E-2</v>
      </c>
      <c r="F717">
        <v>-8.319136854060101E-2</v>
      </c>
      <c r="G717">
        <v>0.136571629707849</v>
      </c>
      <c r="H717">
        <v>-6.9452449567723007E-2</v>
      </c>
      <c r="I717">
        <v>0.11884961884961801</v>
      </c>
    </row>
    <row r="718" spans="1:9" x14ac:dyDescent="0.2">
      <c r="A718" s="1" t="s">
        <v>718</v>
      </c>
      <c r="B718" t="str">
        <f>HYPERLINK("https://www.suredividend.com/sure-analysis-research-database/","fuboTV Inc")</f>
        <v>fuboTV Inc</v>
      </c>
      <c r="C718">
        <v>-0.23076923076923</v>
      </c>
      <c r="D718">
        <v>-0.38650306748466201</v>
      </c>
      <c r="E718">
        <v>-2.4390243902437998E-2</v>
      </c>
      <c r="F718">
        <v>-0.37106918238993702</v>
      </c>
      <c r="G718">
        <v>-0.152542372881355</v>
      </c>
      <c r="H718">
        <v>-0.76190476190476109</v>
      </c>
      <c r="I718">
        <v>3.6511627906976738</v>
      </c>
    </row>
    <row r="719" spans="1:9" x14ac:dyDescent="0.2">
      <c r="A719" s="1" t="s">
        <v>719</v>
      </c>
      <c r="B719" t="str">
        <f>HYPERLINK("https://www.suredividend.com/sure-analysis-FUL/","H.B. Fuller Company")</f>
        <v>H.B. Fuller Company</v>
      </c>
      <c r="C719">
        <v>1.6588646765168E-2</v>
      </c>
      <c r="D719">
        <v>2.9329474064362999E-2</v>
      </c>
      <c r="E719">
        <v>0.124290364856136</v>
      </c>
      <c r="F719">
        <v>-4.1601231716705003E-2</v>
      </c>
      <c r="G719">
        <v>9.5633097384758003E-2</v>
      </c>
      <c r="H719">
        <v>0.13101355152209301</v>
      </c>
      <c r="I719">
        <v>0.62923877424961006</v>
      </c>
    </row>
    <row r="720" spans="1:9" x14ac:dyDescent="0.2">
      <c r="A720" s="1" t="s">
        <v>720</v>
      </c>
      <c r="B720" t="str">
        <f>HYPERLINK("https://www.suredividend.com/sure-analysis-FULT/","Fulton Financial Corp.")</f>
        <v>Fulton Financial Corp.</v>
      </c>
      <c r="C720">
        <v>-3.4782608695652001E-2</v>
      </c>
      <c r="D720">
        <v>9.773671272357301E-2</v>
      </c>
      <c r="E720">
        <v>0.224007561436673</v>
      </c>
      <c r="F720">
        <v>-5.5893074119076007E-2</v>
      </c>
      <c r="G720">
        <v>-3.6989756396829013E-2</v>
      </c>
      <c r="H720">
        <v>-4.9552910667759013E-2</v>
      </c>
      <c r="I720">
        <v>0.154591992154123</v>
      </c>
    </row>
    <row r="721" spans="1:9" x14ac:dyDescent="0.2">
      <c r="A721" s="1" t="s">
        <v>721</v>
      </c>
      <c r="B721" t="str">
        <f>HYPERLINK("https://www.suredividend.com/sure-analysis-research-database/","FVCBankcorp Inc")</f>
        <v>FVCBankcorp Inc</v>
      </c>
      <c r="C721">
        <v>-0.10510281797410501</v>
      </c>
      <c r="D721">
        <v>-3.3717105263157E-2</v>
      </c>
      <c r="E721">
        <v>4.2590949423247003E-2</v>
      </c>
      <c r="F721">
        <v>-0.17253521126760499</v>
      </c>
      <c r="G721">
        <v>-0.12962962962962901</v>
      </c>
      <c r="H721">
        <v>-0.29522552783109401</v>
      </c>
      <c r="I721">
        <v>-0.165482954545454</v>
      </c>
    </row>
    <row r="722" spans="1:9" x14ac:dyDescent="0.2">
      <c r="A722" s="1" t="s">
        <v>722</v>
      </c>
      <c r="B722" t="str">
        <f>HYPERLINK("https://www.suredividend.com/sure-analysis-research-database/","Forward Air Corp.")</f>
        <v>Forward Air Corp.</v>
      </c>
      <c r="C722">
        <v>-0.20292397660818701</v>
      </c>
      <c r="D722">
        <v>-0.37237819394112398</v>
      </c>
      <c r="E722">
        <v>-0.36217307275345001</v>
      </c>
      <c r="F722">
        <v>-0.34961030698266199</v>
      </c>
      <c r="G722">
        <v>-0.61227446681812803</v>
      </c>
      <c r="H722">
        <v>-0.57873720062679401</v>
      </c>
      <c r="I722">
        <v>-0.35282098195844003</v>
      </c>
    </row>
    <row r="723" spans="1:9" x14ac:dyDescent="0.2">
      <c r="A723" s="1" t="s">
        <v>723</v>
      </c>
      <c r="B723" t="str">
        <f>HYPERLINK("https://www.suredividend.com/sure-analysis-research-database/","First Watch Restaurant Group Inc")</f>
        <v>First Watch Restaurant Group Inc</v>
      </c>
      <c r="C723">
        <v>0.216674987518721</v>
      </c>
      <c r="D723">
        <v>0.36526610644257701</v>
      </c>
      <c r="E723">
        <v>0.35388888888888798</v>
      </c>
      <c r="F723">
        <v>0.212437810945273</v>
      </c>
      <c r="G723">
        <v>0.49784880147510702</v>
      </c>
      <c r="H723">
        <v>0.57836787564766801</v>
      </c>
      <c r="I723">
        <v>0.101220063262539</v>
      </c>
    </row>
    <row r="724" spans="1:9" x14ac:dyDescent="0.2">
      <c r="A724" s="1" t="s">
        <v>724</v>
      </c>
      <c r="B724" t="str">
        <f>HYPERLINK("https://www.suredividend.com/sure-analysis-research-database/","German American Bancorp Inc")</f>
        <v>German American Bancorp Inc</v>
      </c>
      <c r="C724">
        <v>4.7586530392135007E-2</v>
      </c>
      <c r="D724">
        <v>0.121833204622649</v>
      </c>
      <c r="E724">
        <v>0.161774333386414</v>
      </c>
      <c r="F724">
        <v>3.045540290712E-2</v>
      </c>
      <c r="G724">
        <v>-0.12942480516139901</v>
      </c>
      <c r="H724">
        <v>-0.101591575813301</v>
      </c>
      <c r="I724">
        <v>0.212938503315907</v>
      </c>
    </row>
    <row r="725" spans="1:9" x14ac:dyDescent="0.2">
      <c r="A725" s="1" t="s">
        <v>725</v>
      </c>
      <c r="B725" t="str">
        <f>HYPERLINK("https://www.suredividend.com/sure-analysis-research-database/","Gambling.com Group Ltd")</f>
        <v>Gambling.com Group Ltd</v>
      </c>
      <c r="C725">
        <v>-4.6808510638297003E-2</v>
      </c>
      <c r="D725">
        <v>-0.123287671232876</v>
      </c>
      <c r="E725">
        <v>-0.37647877522616502</v>
      </c>
      <c r="F725">
        <v>-8.1025641025639999E-2</v>
      </c>
      <c r="G725">
        <v>-9.1277890466531009E-2</v>
      </c>
      <c r="H725">
        <v>-0.135969141755062</v>
      </c>
      <c r="I725">
        <v>0.12</v>
      </c>
    </row>
    <row r="726" spans="1:9" x14ac:dyDescent="0.2">
      <c r="A726" s="1" t="s">
        <v>726</v>
      </c>
      <c r="B726" t="str">
        <f>HYPERLINK("https://www.suredividend.com/sure-analysis-GATX/","GATX Corp.")</f>
        <v>GATX Corp.</v>
      </c>
      <c r="C726">
        <v>6.9376970936674012E-2</v>
      </c>
      <c r="D726">
        <v>0.132887413726474</v>
      </c>
      <c r="E726">
        <v>5.6374195742846002E-2</v>
      </c>
      <c r="F726">
        <v>4.3669938446182013E-2</v>
      </c>
      <c r="G726">
        <v>0.15598468760220899</v>
      </c>
      <c r="H726">
        <v>0.235484509424914</v>
      </c>
      <c r="I726">
        <v>0.77292137085948609</v>
      </c>
    </row>
    <row r="727" spans="1:9" x14ac:dyDescent="0.2">
      <c r="A727" s="1" t="s">
        <v>727</v>
      </c>
      <c r="B727" t="str">
        <f>HYPERLINK("https://www.suredividend.com/sure-analysis-research-database/","Glacier Bancorp, Inc.")</f>
        <v>Glacier Bancorp, Inc.</v>
      </c>
      <c r="C727">
        <v>-8.7496953448696013E-2</v>
      </c>
      <c r="D727">
        <v>0.120501831589532</v>
      </c>
      <c r="E727">
        <v>0.230676181616774</v>
      </c>
      <c r="F727">
        <v>-9.3901258470474008E-2</v>
      </c>
      <c r="G727">
        <v>-0.16705043749874801</v>
      </c>
      <c r="H727">
        <v>-0.23700369066857899</v>
      </c>
      <c r="I727">
        <v>3.1724256194799998E-3</v>
      </c>
    </row>
    <row r="728" spans="1:9" x14ac:dyDescent="0.2">
      <c r="A728" s="1" t="s">
        <v>728</v>
      </c>
      <c r="B728" t="str">
        <f>HYPERLINK("https://www.suredividend.com/sure-analysis-research-database/","Generation Bio Co")</f>
        <v>Generation Bio Co</v>
      </c>
      <c r="C728">
        <v>0.13872832369942101</v>
      </c>
      <c r="D728">
        <v>0.56349206349206304</v>
      </c>
      <c r="E728">
        <v>-0.58872651356993699</v>
      </c>
      <c r="F728">
        <v>0.19393939393939399</v>
      </c>
      <c r="G728">
        <v>-0.58786610878661005</v>
      </c>
      <c r="H728">
        <v>-0.58438818565400807</v>
      </c>
      <c r="I728">
        <v>-0.92021061158363704</v>
      </c>
    </row>
    <row r="729" spans="1:9" x14ac:dyDescent="0.2">
      <c r="A729" s="1" t="s">
        <v>729</v>
      </c>
      <c r="B729" t="str">
        <f>HYPERLINK("https://www.suredividend.com/sure-analysis-research-database/","Global Business Travel Group Inc")</f>
        <v>Global Business Travel Group Inc</v>
      </c>
      <c r="C729">
        <v>3.0465949820787999E-2</v>
      </c>
      <c r="D729">
        <v>-3.3613445378151002E-2</v>
      </c>
      <c r="E729">
        <v>-7.7046548956661007E-2</v>
      </c>
      <c r="F729">
        <v>-0.108527131782945</v>
      </c>
      <c r="G729">
        <v>-0.18785310734463201</v>
      </c>
      <c r="H729">
        <v>-0.41860465116279011</v>
      </c>
      <c r="I729">
        <v>-0.40414507772020702</v>
      </c>
    </row>
    <row r="730" spans="1:9" x14ac:dyDescent="0.2">
      <c r="A730" s="1" t="s">
        <v>730</v>
      </c>
      <c r="B730" t="str">
        <f>HYPERLINK("https://www.suredividend.com/sure-analysis-research-database/","Greenbrier Cos., Inc.")</f>
        <v>Greenbrier Cos., Inc.</v>
      </c>
      <c r="C730">
        <v>9.0689024431706011E-2</v>
      </c>
      <c r="D730">
        <v>0.26402723490102098</v>
      </c>
      <c r="E730">
        <v>0.13064441092298301</v>
      </c>
      <c r="F730">
        <v>9.6367314948143004E-2</v>
      </c>
      <c r="G730">
        <v>0.69041396172329406</v>
      </c>
      <c r="H730">
        <v>0.18429116039367999</v>
      </c>
      <c r="I730">
        <v>0.290765607480646</v>
      </c>
    </row>
    <row r="731" spans="1:9" x14ac:dyDescent="0.2">
      <c r="A731" s="1" t="s">
        <v>731</v>
      </c>
      <c r="B731" t="str">
        <f>HYPERLINK("https://www.suredividend.com/sure-analysis-research-database/","Greene County Bancorp Inc")</f>
        <v>Greene County Bancorp Inc</v>
      </c>
      <c r="C731">
        <v>7.2610777252127001E-2</v>
      </c>
      <c r="D731">
        <v>0.14371411691636399</v>
      </c>
      <c r="E731">
        <v>-5.3425065429640997E-2</v>
      </c>
      <c r="F731">
        <v>7.6794717287903005E-2</v>
      </c>
      <c r="G731">
        <v>1.3167504123355449</v>
      </c>
      <c r="H731">
        <v>2.22301789735435</v>
      </c>
      <c r="I731">
        <v>3.3186660755909569</v>
      </c>
    </row>
    <row r="732" spans="1:9" x14ac:dyDescent="0.2">
      <c r="A732" s="1" t="s">
        <v>732</v>
      </c>
      <c r="B732" t="str">
        <f>HYPERLINK("https://www.suredividend.com/sure-analysis-research-database/","New Media Investment Group Inc")</f>
        <v>New Media Investment Group Inc</v>
      </c>
      <c r="C732">
        <v>-8.8105726872240008E-3</v>
      </c>
      <c r="D732">
        <v>0.171875</v>
      </c>
      <c r="E732">
        <v>-0.22945205479451999</v>
      </c>
      <c r="F732">
        <v>-2.1739130434782001E-2</v>
      </c>
      <c r="G732">
        <v>-0.16044776119402901</v>
      </c>
      <c r="H732">
        <v>-0.606643356643356</v>
      </c>
      <c r="I732">
        <v>-0.80900965137895009</v>
      </c>
    </row>
    <row r="733" spans="1:9" x14ac:dyDescent="0.2">
      <c r="A733" s="1" t="s">
        <v>733</v>
      </c>
      <c r="B733" t="str">
        <f>HYPERLINK("https://www.suredividend.com/sure-analysis-research-database/","GCM Grosvenor Inc")</f>
        <v>GCM Grosvenor Inc</v>
      </c>
      <c r="C733">
        <v>-2.1939953810623001E-2</v>
      </c>
      <c r="D733">
        <v>3.0902739742700001E-2</v>
      </c>
      <c r="E733">
        <v>0.16697207258097799</v>
      </c>
      <c r="F733">
        <v>-5.46875E-2</v>
      </c>
      <c r="G733">
        <v>8.378544375063901E-2</v>
      </c>
      <c r="H733">
        <v>-3.4933801244217001E-2</v>
      </c>
      <c r="I733">
        <v>-7.3739925418019006E-2</v>
      </c>
    </row>
    <row r="734" spans="1:9" x14ac:dyDescent="0.2">
      <c r="A734" s="1" t="s">
        <v>734</v>
      </c>
      <c r="B734" t="str">
        <f>HYPERLINK("https://www.suredividend.com/sure-analysis-research-database/","Genesco Inc.")</f>
        <v>Genesco Inc.</v>
      </c>
      <c r="C734">
        <v>0.14153046062407099</v>
      </c>
      <c r="D734">
        <v>-3.6677115987460013E-2</v>
      </c>
      <c r="E734">
        <v>2.0930232558139E-2</v>
      </c>
      <c r="F734">
        <v>-0.12723658051689801</v>
      </c>
      <c r="G734">
        <v>-0.34407684098185698</v>
      </c>
      <c r="H734">
        <v>-0.54038288962010106</v>
      </c>
      <c r="I734">
        <v>-0.34449658703071601</v>
      </c>
    </row>
    <row r="735" spans="1:9" x14ac:dyDescent="0.2">
      <c r="A735" s="1" t="s">
        <v>735</v>
      </c>
      <c r="B735" t="str">
        <f>HYPERLINK("https://www.suredividend.com/sure-analysis-research-database/","Golden Entertainment Inc")</f>
        <v>Golden Entertainment Inc</v>
      </c>
      <c r="C735">
        <v>-7.3066263542453005E-2</v>
      </c>
      <c r="D735">
        <v>-1.8671645772206001E-2</v>
      </c>
      <c r="E735">
        <v>2.336578581363E-2</v>
      </c>
      <c r="F735">
        <v>-7.8637615827698001E-2</v>
      </c>
      <c r="G735">
        <v>-2.1235387701459E-2</v>
      </c>
      <c r="H735">
        <v>-0.22074070936106599</v>
      </c>
      <c r="I735">
        <v>1.2539301336796831</v>
      </c>
    </row>
    <row r="736" spans="1:9" x14ac:dyDescent="0.2">
      <c r="A736" s="1" t="s">
        <v>736</v>
      </c>
      <c r="B736" t="str">
        <f>HYPERLINK("https://www.suredividend.com/sure-analysis-research-database/","Green Dot Corp.")</f>
        <v>Green Dot Corp.</v>
      </c>
      <c r="C736">
        <v>-5.3409090909089997E-2</v>
      </c>
      <c r="D736">
        <v>2.9666254635352E-2</v>
      </c>
      <c r="E736">
        <v>-0.46739130434782611</v>
      </c>
      <c r="F736">
        <v>-0.158585858585858</v>
      </c>
      <c r="G736">
        <v>-0.54530567685589504</v>
      </c>
      <c r="H736">
        <v>-0.74329738058551609</v>
      </c>
      <c r="I736">
        <v>-0.88844248024641703</v>
      </c>
    </row>
    <row r="737" spans="1:9" x14ac:dyDescent="0.2">
      <c r="A737" s="1" t="s">
        <v>737</v>
      </c>
      <c r="B737" t="str">
        <f>HYPERLINK("https://www.suredividend.com/sure-analysis-research-database/","Grid Dynamics Holdings Inc")</f>
        <v>Grid Dynamics Holdings Inc</v>
      </c>
      <c r="C737">
        <v>7.3750991276764002E-2</v>
      </c>
      <c r="D737">
        <v>0.114403292181069</v>
      </c>
      <c r="E737">
        <v>0.27856468366383302</v>
      </c>
      <c r="F737">
        <v>1.5753938484621002E-2</v>
      </c>
      <c r="G737">
        <v>8.6677367576243003E-2</v>
      </c>
      <c r="H737">
        <v>-0.28017012227538501</v>
      </c>
      <c r="I737">
        <v>0.37461928934010102</v>
      </c>
    </row>
    <row r="738" spans="1:9" x14ac:dyDescent="0.2">
      <c r="A738" s="1" t="s">
        <v>738</v>
      </c>
      <c r="B738" t="str">
        <f>HYPERLINK("https://www.suredividend.com/sure-analysis-GEF/","Greif Inc")</f>
        <v>Greif Inc</v>
      </c>
      <c r="C738">
        <v>-2.0987849139970999E-2</v>
      </c>
      <c r="D738">
        <v>-7.5670191257603006E-2</v>
      </c>
      <c r="E738">
        <v>-0.11047641988265799</v>
      </c>
      <c r="F738">
        <v>-5.4124104284188998E-2</v>
      </c>
      <c r="G738">
        <v>-0.107523045584799</v>
      </c>
      <c r="H738">
        <v>9.5375727646231007E-2</v>
      </c>
      <c r="I738">
        <v>0.83714987103823801</v>
      </c>
    </row>
    <row r="739" spans="1:9" x14ac:dyDescent="0.2">
      <c r="A739" s="1" t="s">
        <v>739</v>
      </c>
      <c r="B739" t="str">
        <f>HYPERLINK("https://www.suredividend.com/sure-analysis-research-database/","Gencor Industries, Inc.")</f>
        <v>Gencor Industries, Inc.</v>
      </c>
      <c r="C739">
        <v>2.5802391441158E-2</v>
      </c>
      <c r="D739">
        <v>0.14546732255797601</v>
      </c>
      <c r="E739">
        <v>0.17013639626704899</v>
      </c>
      <c r="F739">
        <v>9.9132589838910011E-3</v>
      </c>
      <c r="G739">
        <v>0.26749611197511602</v>
      </c>
      <c r="H739">
        <v>0.54064272211720199</v>
      </c>
      <c r="I739">
        <v>0.15931721194879001</v>
      </c>
    </row>
    <row r="740" spans="1:9" x14ac:dyDescent="0.2">
      <c r="A740" s="1" t="s">
        <v>740</v>
      </c>
      <c r="B740" t="str">
        <f>HYPERLINK("https://www.suredividend.com/sure-analysis-research-database/","Geo Group, Inc.")</f>
        <v>Geo Group, Inc.</v>
      </c>
      <c r="C740">
        <v>9.2406221408966011E-2</v>
      </c>
      <c r="D740">
        <v>0.23987538940809899</v>
      </c>
      <c r="E740">
        <v>0.67461430575035009</v>
      </c>
      <c r="F740">
        <v>0.102493074792243</v>
      </c>
      <c r="G740">
        <v>0.25157232704402499</v>
      </c>
      <c r="H740">
        <v>0.82568807339449501</v>
      </c>
      <c r="I740">
        <v>-0.33395438089553497</v>
      </c>
    </row>
    <row r="741" spans="1:9" x14ac:dyDescent="0.2">
      <c r="A741" s="1" t="s">
        <v>741</v>
      </c>
      <c r="B741" t="str">
        <f>HYPERLINK("https://www.suredividend.com/sure-analysis-research-database/","Geron Corp.")</f>
        <v>Geron Corp.</v>
      </c>
      <c r="C741">
        <v>3.1746031746031002E-2</v>
      </c>
      <c r="D741">
        <v>-2.9850746268656001E-2</v>
      </c>
      <c r="E741">
        <v>-0.25287356321839</v>
      </c>
      <c r="F741">
        <v>-7.5829383886255E-2</v>
      </c>
      <c r="G741">
        <v>-0.30604982206405601</v>
      </c>
      <c r="H741">
        <v>0.875</v>
      </c>
      <c r="I741">
        <v>0.31756756756756699</v>
      </c>
    </row>
    <row r="742" spans="1:9" x14ac:dyDescent="0.2">
      <c r="A742" s="1" t="s">
        <v>742</v>
      </c>
      <c r="B742" t="str">
        <f>HYPERLINK("https://www.suredividend.com/sure-analysis-research-database/","Guess Inc.")</f>
        <v>Guess Inc.</v>
      </c>
      <c r="C742">
        <v>6.3386524822695009E-2</v>
      </c>
      <c r="D742">
        <v>7.2637191921730007E-3</v>
      </c>
      <c r="E742">
        <v>0.229008493939486</v>
      </c>
      <c r="F742">
        <v>4.0329575021682003E-2</v>
      </c>
      <c r="G742">
        <v>0.13169452267398701</v>
      </c>
      <c r="H742">
        <v>0.15806445384154899</v>
      </c>
      <c r="I742">
        <v>0.32737242230251201</v>
      </c>
    </row>
    <row r="743" spans="1:9" x14ac:dyDescent="0.2">
      <c r="A743" s="1" t="s">
        <v>743</v>
      </c>
      <c r="B743" t="str">
        <f>HYPERLINK("https://www.suredividend.com/sure-analysis-research-database/","Gevo Inc")</f>
        <v>Gevo Inc</v>
      </c>
      <c r="C743">
        <v>4.5977011494250002E-3</v>
      </c>
      <c r="D743">
        <v>-0.29516129032257998</v>
      </c>
      <c r="E743">
        <v>-0.39724137931034398</v>
      </c>
      <c r="F743">
        <v>-0.246551724137931</v>
      </c>
      <c r="G743">
        <v>-0.5540816326530611</v>
      </c>
      <c r="H743">
        <v>-0.71897106109324704</v>
      </c>
      <c r="I743">
        <v>-0.66384615384615309</v>
      </c>
    </row>
    <row r="744" spans="1:9" x14ac:dyDescent="0.2">
      <c r="A744" s="1" t="s">
        <v>744</v>
      </c>
      <c r="B744" t="str">
        <f>HYPERLINK("https://www.suredividend.com/sure-analysis-research-database/","Griffon Corp.")</f>
        <v>Griffon Corp.</v>
      </c>
      <c r="C744">
        <v>0.15421276595744601</v>
      </c>
      <c r="D744">
        <v>0.46295157654013303</v>
      </c>
      <c r="E744">
        <v>0.663898001899214</v>
      </c>
      <c r="F744">
        <v>0.112551271534044</v>
      </c>
      <c r="G744">
        <v>0.86717992774693808</v>
      </c>
      <c r="H744">
        <v>2.5343295406570379</v>
      </c>
      <c r="I744">
        <v>3.634996582365003</v>
      </c>
    </row>
    <row r="745" spans="1:9" x14ac:dyDescent="0.2">
      <c r="A745" s="1" t="s">
        <v>745</v>
      </c>
      <c r="B745" t="str">
        <f>HYPERLINK("https://www.suredividend.com/sure-analysis-research-database/","Guardant Health Inc")</f>
        <v>Guardant Health Inc</v>
      </c>
      <c r="C745">
        <v>-1.6372253339078002E-2</v>
      </c>
      <c r="D745">
        <v>-4.4769874476987007E-2</v>
      </c>
      <c r="E745">
        <v>-0.38313969197514097</v>
      </c>
      <c r="F745">
        <v>-0.156007393715342</v>
      </c>
      <c r="G745">
        <v>-0.19753954305799601</v>
      </c>
      <c r="H745">
        <v>-0.63236714975845409</v>
      </c>
      <c r="I745">
        <v>-0.5472034906783021</v>
      </c>
    </row>
    <row r="746" spans="1:9" x14ac:dyDescent="0.2">
      <c r="A746" s="1" t="s">
        <v>746</v>
      </c>
      <c r="B746" t="str">
        <f>HYPERLINK("https://www.suredividend.com/sure-analysis-research-database/","Graham Holdings Co.")</f>
        <v>Graham Holdings Co.</v>
      </c>
      <c r="C746">
        <v>9.448117423125001E-3</v>
      </c>
      <c r="D746">
        <v>0.14519973654306001</v>
      </c>
      <c r="E746">
        <v>0.24354217427788599</v>
      </c>
      <c r="F746">
        <v>2.6621944670055998E-2</v>
      </c>
      <c r="G746">
        <v>7.4062592826845006E-2</v>
      </c>
      <c r="H746">
        <v>0.21646390278929001</v>
      </c>
      <c r="I746">
        <v>0.117717037100403</v>
      </c>
    </row>
    <row r="747" spans="1:9" x14ac:dyDescent="0.2">
      <c r="A747" s="1" t="s">
        <v>747</v>
      </c>
      <c r="B747" t="str">
        <f>HYPERLINK("https://www.suredividend.com/sure-analysis-research-database/","Global Industrial Co")</f>
        <v>Global Industrial Co</v>
      </c>
      <c r="C747">
        <v>0.16022964509394499</v>
      </c>
      <c r="D747">
        <v>0.21342794759825301</v>
      </c>
      <c r="E747">
        <v>0.35439355398839301</v>
      </c>
      <c r="F747">
        <v>0.144696189495365</v>
      </c>
      <c r="G747">
        <v>0.57629948981219803</v>
      </c>
      <c r="H747">
        <v>0.57930071718581799</v>
      </c>
      <c r="I747">
        <v>0.94738640245985606</v>
      </c>
    </row>
    <row r="748" spans="1:9" x14ac:dyDescent="0.2">
      <c r="A748" s="1" t="s">
        <v>748</v>
      </c>
      <c r="B748" t="str">
        <f>HYPERLINK("https://www.suredividend.com/sure-analysis-research-database/","G-III Apparel Group Ltd.")</f>
        <v>G-III Apparel Group Ltd.</v>
      </c>
      <c r="C748">
        <v>6.5217391304347005E-2</v>
      </c>
      <c r="D748">
        <v>0.11441567529740999</v>
      </c>
      <c r="E748">
        <v>0.53272377285851702</v>
      </c>
      <c r="F748">
        <v>-6.2683931724543007E-2</v>
      </c>
      <c r="G748">
        <v>0.92447129909365511</v>
      </c>
      <c r="H748">
        <v>0.119507908611599</v>
      </c>
      <c r="I748">
        <v>-0.120651573716178</v>
      </c>
    </row>
    <row r="749" spans="1:9" x14ac:dyDescent="0.2">
      <c r="A749" s="1" t="s">
        <v>749</v>
      </c>
      <c r="B749" t="str">
        <f>HYPERLINK("https://www.suredividend.com/sure-analysis-research-database/","Glaukos Corporation")</f>
        <v>Glaukos Corporation</v>
      </c>
      <c r="C749">
        <v>9.2014459415050015E-3</v>
      </c>
      <c r="D749">
        <v>0.44133291614518111</v>
      </c>
      <c r="E749">
        <v>0.28314763231197698</v>
      </c>
      <c r="F749">
        <v>0.15901371241665599</v>
      </c>
      <c r="G749">
        <v>0.78546511627906901</v>
      </c>
      <c r="H749">
        <v>0.84186325469812007</v>
      </c>
      <c r="I749">
        <v>0.32905366416618498</v>
      </c>
    </row>
    <row r="750" spans="1:9" x14ac:dyDescent="0.2">
      <c r="A750" s="1" t="s">
        <v>750</v>
      </c>
      <c r="B750" t="str">
        <f>HYPERLINK("https://www.suredividend.com/sure-analysis-research-database/","Great Lakes Dredge &amp; Dock Corporation")</f>
        <v>Great Lakes Dredge &amp; Dock Corporation</v>
      </c>
      <c r="C750">
        <v>0.176308539944903</v>
      </c>
      <c r="D750">
        <v>0.29787234042553101</v>
      </c>
      <c r="E750">
        <v>-1.3856812933025001E-2</v>
      </c>
      <c r="F750">
        <v>0.11197916666666601</v>
      </c>
      <c r="G750">
        <v>0.349131121642969</v>
      </c>
      <c r="H750">
        <v>-0.40858725761772802</v>
      </c>
      <c r="I750">
        <v>0.103359173126614</v>
      </c>
    </row>
    <row r="751" spans="1:9" x14ac:dyDescent="0.2">
      <c r="A751" s="1" t="s">
        <v>751</v>
      </c>
      <c r="B751" t="str">
        <f>HYPERLINK("https://www.suredividend.com/sure-analysis-research-database/","Golar Lng")</f>
        <v>Golar Lng</v>
      </c>
      <c r="C751">
        <v>-3.0649588289112E-2</v>
      </c>
      <c r="D751">
        <v>-1.3684602494878999E-2</v>
      </c>
      <c r="E751">
        <v>-8.2698778941060012E-3</v>
      </c>
      <c r="F751">
        <v>-7.8294910830795011E-2</v>
      </c>
      <c r="G751">
        <v>7.555477364474001E-3</v>
      </c>
      <c r="H751">
        <v>0.53162269606071499</v>
      </c>
      <c r="I751">
        <v>3.9046372163952001E-2</v>
      </c>
    </row>
    <row r="752" spans="1:9" x14ac:dyDescent="0.2">
      <c r="A752" s="1" t="s">
        <v>752</v>
      </c>
      <c r="B752" t="str">
        <f>HYPERLINK("https://www.suredividend.com/sure-analysis-research-database/","Greenlight Capital Re Ltd")</f>
        <v>Greenlight Capital Re Ltd</v>
      </c>
      <c r="C752">
        <v>6.7144136078782002E-2</v>
      </c>
      <c r="D752">
        <v>5.7675244010646998E-2</v>
      </c>
      <c r="E752">
        <v>5.3003533568904013E-2</v>
      </c>
      <c r="F752">
        <v>4.3782837127844997E-2</v>
      </c>
      <c r="G752">
        <v>0.235233160621761</v>
      </c>
      <c r="H752">
        <v>0.65325936199722601</v>
      </c>
      <c r="I752">
        <v>1.8803418803418001E-2</v>
      </c>
    </row>
    <row r="753" spans="1:9" x14ac:dyDescent="0.2">
      <c r="A753" s="1" t="s">
        <v>753</v>
      </c>
      <c r="B753" t="str">
        <f>HYPERLINK("https://www.suredividend.com/sure-analysis-research-database/","Glatfelter Corporation")</f>
        <v>Glatfelter Corporation</v>
      </c>
      <c r="C753">
        <v>0.48529411764705799</v>
      </c>
      <c r="D753">
        <v>0.33774834437085999</v>
      </c>
      <c r="E753">
        <v>-4.7169811320754013E-2</v>
      </c>
      <c r="F753">
        <v>4.1237113402061001E-2</v>
      </c>
      <c r="G753">
        <v>-0.5</v>
      </c>
      <c r="H753">
        <v>-0.85172897230561406</v>
      </c>
      <c r="I753">
        <v>-0.83658015662416607</v>
      </c>
    </row>
    <row r="754" spans="1:9" x14ac:dyDescent="0.2">
      <c r="A754" s="1" t="s">
        <v>754</v>
      </c>
      <c r="B754" t="str">
        <f>HYPERLINK("https://www.suredividend.com/sure-analysis-research-database/","Monte Rosa Therapeutics Inc")</f>
        <v>Monte Rosa Therapeutics Inc</v>
      </c>
      <c r="C754">
        <v>9.9009900990099015E-2</v>
      </c>
      <c r="D754">
        <v>0.70769230769230707</v>
      </c>
      <c r="E754">
        <v>-0.121835443037974</v>
      </c>
      <c r="F754">
        <v>-1.7699115044247E-2</v>
      </c>
      <c r="G754">
        <v>-0.19565217391304299</v>
      </c>
      <c r="H754">
        <v>-0.59191176470588203</v>
      </c>
      <c r="I754">
        <v>-0.73796033994334209</v>
      </c>
    </row>
    <row r="755" spans="1:9" x14ac:dyDescent="0.2">
      <c r="A755" s="1" t="s">
        <v>755</v>
      </c>
      <c r="B755" t="str">
        <f>HYPERLINK("https://www.suredividend.com/sure-analysis-GMRE/","Global Medical REIT Inc")</f>
        <v>Global Medical REIT Inc</v>
      </c>
      <c r="C755">
        <v>-7.7821011673151003E-2</v>
      </c>
      <c r="D755">
        <v>-1.5678538054199002E-2</v>
      </c>
      <c r="E755">
        <v>6.9723880344388006E-2</v>
      </c>
      <c r="F755">
        <v>-0.14594594594594501</v>
      </c>
      <c r="G755">
        <v>-3.6663685879196002E-2</v>
      </c>
      <c r="H755">
        <v>-0.31079106354826203</v>
      </c>
      <c r="I755">
        <v>0.28300558946527898</v>
      </c>
    </row>
    <row r="756" spans="1:9" x14ac:dyDescent="0.2">
      <c r="A756" s="1" t="s">
        <v>756</v>
      </c>
      <c r="B756" t="str">
        <f>HYPERLINK("https://www.suredividend.com/sure-analysis-research-database/","GMS Inc")</f>
        <v>GMS Inc</v>
      </c>
      <c r="C756">
        <v>6.4609800362976005E-2</v>
      </c>
      <c r="D756">
        <v>0.331366318656377</v>
      </c>
      <c r="E756">
        <v>0.26042114310270698</v>
      </c>
      <c r="F756">
        <v>6.7451170690282003E-2</v>
      </c>
      <c r="G756">
        <v>0.43939146082120001</v>
      </c>
      <c r="H756">
        <v>0.65084427767354502</v>
      </c>
      <c r="I756">
        <v>3.2486721390632538</v>
      </c>
    </row>
    <row r="757" spans="1:9" x14ac:dyDescent="0.2">
      <c r="A757" s="1" t="s">
        <v>757</v>
      </c>
      <c r="B757" t="str">
        <f>HYPERLINK("https://www.suredividend.com/sure-analysis-research-database/","Genie Energy Ltd")</f>
        <v>Genie Energy Ltd</v>
      </c>
      <c r="C757">
        <v>-8.4071708221718E-2</v>
      </c>
      <c r="D757">
        <v>-0.274330143052466</v>
      </c>
      <c r="E757">
        <v>0.15525811377148199</v>
      </c>
      <c r="F757">
        <v>-0.36539436207499598</v>
      </c>
      <c r="G757">
        <v>0.43766222215034811</v>
      </c>
      <c r="H757">
        <v>2.1188605108055012</v>
      </c>
      <c r="I757">
        <v>1.476702558887852</v>
      </c>
    </row>
    <row r="758" spans="1:9" x14ac:dyDescent="0.2">
      <c r="A758" s="1" t="s">
        <v>758</v>
      </c>
      <c r="B758" t="str">
        <f>HYPERLINK("https://www.suredividend.com/sure-analysis-research-database/","Genco Shipping &amp; Trading Limited")</f>
        <v>Genco Shipping &amp; Trading Limited</v>
      </c>
      <c r="C758">
        <v>4.7953216374268998E-2</v>
      </c>
      <c r="D758">
        <v>0.26197183098591498</v>
      </c>
      <c r="E758">
        <v>0.28708817846856599</v>
      </c>
      <c r="F758">
        <v>8.0168776371308009E-2</v>
      </c>
      <c r="G758">
        <v>5.1359374816657012E-2</v>
      </c>
      <c r="H758">
        <v>0.17398881041914999</v>
      </c>
      <c r="I758">
        <v>1.9845774624429571</v>
      </c>
    </row>
    <row r="759" spans="1:9" x14ac:dyDescent="0.2">
      <c r="A759" s="1" t="s">
        <v>759</v>
      </c>
      <c r="B759" t="str">
        <f>HYPERLINK("https://www.suredividend.com/sure-analysis-GNL/","Global Net Lease Inc")</f>
        <v>Global Net Lease Inc</v>
      </c>
      <c r="C759">
        <v>-0.12753950338600401</v>
      </c>
      <c r="D759">
        <v>-9.1315183147599011E-2</v>
      </c>
      <c r="E759">
        <v>-0.21820480404551101</v>
      </c>
      <c r="F759">
        <v>-0.19451478112267701</v>
      </c>
      <c r="G759">
        <v>-0.37987356801334898</v>
      </c>
      <c r="H759">
        <v>-0.30068032134327211</v>
      </c>
      <c r="I759">
        <v>-0.30667049358244097</v>
      </c>
    </row>
    <row r="760" spans="1:9" x14ac:dyDescent="0.2">
      <c r="A760" s="1" t="s">
        <v>760</v>
      </c>
      <c r="B760" t="str">
        <f>HYPERLINK("https://www.suredividend.com/sure-analysis-research-database/","Genelux Corp")</f>
        <v>Genelux Corp</v>
      </c>
      <c r="C760">
        <v>-0.38765432098765401</v>
      </c>
      <c r="D760">
        <v>-0.30597014925373101</v>
      </c>
      <c r="E760">
        <v>-0.68987077949145403</v>
      </c>
      <c r="F760">
        <v>-0.46895074946466803</v>
      </c>
      <c r="G760">
        <v>0.13242009132419999</v>
      </c>
      <c r="H760">
        <v>0.20975609756097499</v>
      </c>
      <c r="I760">
        <v>0.20975609756097499</v>
      </c>
    </row>
    <row r="761" spans="1:9" x14ac:dyDescent="0.2">
      <c r="A761" s="1" t="s">
        <v>761</v>
      </c>
      <c r="B761" t="str">
        <f>HYPERLINK("https://www.suredividend.com/sure-analysis-research-database/","Guaranty Bancshares, Inc. (TX)")</f>
        <v>Guaranty Bancshares, Inc. (TX)</v>
      </c>
      <c r="C761">
        <v>-0.109365737996443</v>
      </c>
      <c r="D761">
        <v>-3.118365180467E-3</v>
      </c>
      <c r="E761">
        <v>5.3272957315000002E-4</v>
      </c>
      <c r="F761">
        <v>-0.106186793575252</v>
      </c>
      <c r="G761">
        <v>-2.2077296572550999E-2</v>
      </c>
      <c r="H761">
        <v>-0.104455371777678</v>
      </c>
      <c r="I761">
        <v>0.21292603774803401</v>
      </c>
    </row>
    <row r="762" spans="1:9" x14ac:dyDescent="0.2">
      <c r="A762" s="1" t="s">
        <v>762</v>
      </c>
      <c r="B762" t="str">
        <f>HYPERLINK("https://www.suredividend.com/sure-analysis-research-database/","Genworth Financial Inc")</f>
        <v>Genworth Financial Inc</v>
      </c>
      <c r="C762">
        <v>-9.7244732576980009E-3</v>
      </c>
      <c r="D762">
        <v>3.9115646258503001E-2</v>
      </c>
      <c r="E762">
        <v>5.5267702936096001E-2</v>
      </c>
      <c r="F762">
        <v>-8.5329341317365012E-2</v>
      </c>
      <c r="G762">
        <v>-2.0833333333332999E-2</v>
      </c>
      <c r="H762">
        <v>0.45130641330166199</v>
      </c>
      <c r="I762">
        <v>0.36080178173719302</v>
      </c>
    </row>
    <row r="763" spans="1:9" x14ac:dyDescent="0.2">
      <c r="A763" s="1" t="s">
        <v>763</v>
      </c>
      <c r="B763" t="str">
        <f>HYPERLINK("https://www.suredividend.com/sure-analysis-research-database/","GoHealth Inc")</f>
        <v>GoHealth Inc</v>
      </c>
      <c r="C763">
        <v>6.3709677419354002E-2</v>
      </c>
      <c r="D763">
        <v>1.0727969348658E-2</v>
      </c>
      <c r="E763">
        <v>-0.269252077562326</v>
      </c>
      <c r="F763">
        <v>-1.1244377811094001E-2</v>
      </c>
      <c r="G763">
        <v>-0.21488095238095201</v>
      </c>
      <c r="H763">
        <v>-0.59663608562691106</v>
      </c>
      <c r="I763">
        <v>-0.95481329222336409</v>
      </c>
    </row>
    <row r="764" spans="1:9" x14ac:dyDescent="0.2">
      <c r="A764" s="1" t="s">
        <v>764</v>
      </c>
      <c r="B764" t="str">
        <f>HYPERLINK("https://www.suredividend.com/sure-analysis-research-database/","Golden Ocean Group Limited")</f>
        <v>Golden Ocean Group Limited</v>
      </c>
      <c r="C764">
        <v>4.6021093000957997E-2</v>
      </c>
      <c r="D764">
        <v>0.40832343677389299</v>
      </c>
      <c r="E764">
        <v>0.51848346509297405</v>
      </c>
      <c r="F764">
        <v>0.11782786885245899</v>
      </c>
      <c r="G764">
        <v>0.24886960702388899</v>
      </c>
      <c r="H764">
        <v>0.20680500862793599</v>
      </c>
      <c r="I764">
        <v>2.3949464774707492</v>
      </c>
    </row>
    <row r="765" spans="1:9" x14ac:dyDescent="0.2">
      <c r="A765" s="1" t="s">
        <v>765</v>
      </c>
      <c r="B765" t="str">
        <f>HYPERLINK("https://www.suredividend.com/sure-analysis-research-database/","Gogo Inc")</f>
        <v>Gogo Inc</v>
      </c>
      <c r="C765">
        <v>5.9158134243457998E-2</v>
      </c>
      <c r="D765">
        <v>-0.11333333333333299</v>
      </c>
      <c r="E765">
        <v>-0.235004108463434</v>
      </c>
      <c r="F765">
        <v>-8.0947680157946011E-2</v>
      </c>
      <c r="G765">
        <v>-0.42388613861386099</v>
      </c>
      <c r="H765">
        <v>-0.281635802469135</v>
      </c>
      <c r="I765">
        <v>1.1905882352941179</v>
      </c>
    </row>
    <row r="766" spans="1:9" x14ac:dyDescent="0.2">
      <c r="A766" s="1" t="s">
        <v>766</v>
      </c>
      <c r="B766" t="str">
        <f>HYPERLINK("https://www.suredividend.com/sure-analysis-research-database/","Acushnet Holdings Corp")</f>
        <v>Acushnet Holdings Corp</v>
      </c>
      <c r="C766">
        <v>3.5588280411106003E-2</v>
      </c>
      <c r="D766">
        <v>0.176882820753302</v>
      </c>
      <c r="E766">
        <v>0.24234918274733799</v>
      </c>
      <c r="F766">
        <v>6.8703498496121007E-2</v>
      </c>
      <c r="G766">
        <v>0.35381197033685802</v>
      </c>
      <c r="H766">
        <v>0.64397905759162311</v>
      </c>
      <c r="I766">
        <v>2.084521650134556</v>
      </c>
    </row>
    <row r="767" spans="1:9" x14ac:dyDescent="0.2">
      <c r="A767" s="1" t="s">
        <v>767</v>
      </c>
      <c r="B767" t="str">
        <f>HYPERLINK("https://www.suredividend.com/sure-analysis-GOOD/","Gladstone Commercial Corp")</f>
        <v>Gladstone Commercial Corp</v>
      </c>
      <c r="C767">
        <v>-4.4286529064478997E-2</v>
      </c>
      <c r="D767">
        <v>4.7085050327635998E-2</v>
      </c>
      <c r="E767">
        <v>5.1694160552987013E-2</v>
      </c>
      <c r="F767">
        <v>-3.4185171626852001E-2</v>
      </c>
      <c r="G767">
        <v>-0.106756951447918</v>
      </c>
      <c r="H767">
        <v>-0.26409058807470598</v>
      </c>
      <c r="I767">
        <v>-6.9599927969026004E-2</v>
      </c>
    </row>
    <row r="768" spans="1:9" x14ac:dyDescent="0.2">
      <c r="A768" s="1" t="s">
        <v>768</v>
      </c>
      <c r="B768" t="str">
        <f>HYPERLINK("https://www.suredividend.com/sure-analysis-research-database/","Lazydays Holdings Inc")</f>
        <v>Lazydays Holdings Inc</v>
      </c>
      <c r="C768">
        <v>-2.7397260273972001E-2</v>
      </c>
      <c r="D768">
        <v>-0.40833333333333299</v>
      </c>
      <c r="E768">
        <v>-0.62133333333333307</v>
      </c>
      <c r="F768">
        <v>-0.39574468085106301</v>
      </c>
      <c r="G768">
        <v>-0.66588235294117604</v>
      </c>
      <c r="H768">
        <v>-0.75573394495412805</v>
      </c>
      <c r="I768">
        <v>-0.30731707317073098</v>
      </c>
    </row>
    <row r="769" spans="1:9" x14ac:dyDescent="0.2">
      <c r="A769" s="1" t="s">
        <v>769</v>
      </c>
      <c r="B769" t="str">
        <f>HYPERLINK("https://www.suredividend.com/sure-analysis-research-database/","Group 1 Automotive, Inc.")</f>
        <v>Group 1 Automotive, Inc.</v>
      </c>
      <c r="C769">
        <v>-4.5487733644859002E-2</v>
      </c>
      <c r="D769">
        <v>-7.7237344747459011E-2</v>
      </c>
      <c r="E769">
        <v>-6.3904756982550003E-3</v>
      </c>
      <c r="F769">
        <v>-0.14202270788212901</v>
      </c>
      <c r="G769">
        <v>9.853496459571201E-2</v>
      </c>
      <c r="H769">
        <v>0.46705000965090598</v>
      </c>
      <c r="I769">
        <v>3.2889223889753718</v>
      </c>
    </row>
    <row r="770" spans="1:9" x14ac:dyDescent="0.2">
      <c r="A770" s="1" t="s">
        <v>770</v>
      </c>
      <c r="B770" t="str">
        <f>HYPERLINK("https://www.suredividend.com/sure-analysis-research-database/","Granite Point Mortgage Trust Inc")</f>
        <v>Granite Point Mortgage Trust Inc</v>
      </c>
      <c r="C770">
        <v>-0.20774647887323899</v>
      </c>
      <c r="D770">
        <v>-0.12171129674447601</v>
      </c>
      <c r="E770">
        <v>-3.2070723365812001E-2</v>
      </c>
      <c r="F770">
        <v>-0.24242424242424199</v>
      </c>
      <c r="G770">
        <v>-0.155119972963839</v>
      </c>
      <c r="H770">
        <v>-0.48994627434089699</v>
      </c>
      <c r="I770">
        <v>-0.61211243567531204</v>
      </c>
    </row>
    <row r="771" spans="1:9" x14ac:dyDescent="0.2">
      <c r="A771" s="1" t="s">
        <v>771</v>
      </c>
      <c r="B771" t="str">
        <f>HYPERLINK("https://www.suredividend.com/sure-analysis-research-database/","Gulfport Energy Corp.")</f>
        <v>Gulfport Energy Corp.</v>
      </c>
      <c r="C771">
        <v>5.0059311981019997E-2</v>
      </c>
      <c r="D771">
        <v>1.5992042237355002E-2</v>
      </c>
      <c r="E771">
        <v>0.19848361765502201</v>
      </c>
      <c r="F771">
        <v>-3.1531531531529999E-3</v>
      </c>
      <c r="G771">
        <v>1.1378199967799061</v>
      </c>
      <c r="H771">
        <v>1.1639504563233369</v>
      </c>
      <c r="I771">
        <v>0.8201507882111031</v>
      </c>
    </row>
    <row r="772" spans="1:9" x14ac:dyDescent="0.2">
      <c r="A772" s="1" t="s">
        <v>772</v>
      </c>
      <c r="B772" t="str">
        <f>HYPERLINK("https://www.suredividend.com/sure-analysis-research-database/","Green Plains Inc")</f>
        <v>Green Plains Inc</v>
      </c>
      <c r="C772">
        <v>8.6956521739130002E-2</v>
      </c>
      <c r="D772">
        <v>-0.122976098689283</v>
      </c>
      <c r="E772">
        <v>-0.28414096916299503</v>
      </c>
      <c r="F772">
        <v>-9.7938144329896004E-2</v>
      </c>
      <c r="G772">
        <v>-0.34324480369514998</v>
      </c>
      <c r="H772">
        <v>-0.15521722985517999</v>
      </c>
      <c r="I772">
        <v>0.49782404024044102</v>
      </c>
    </row>
    <row r="773" spans="1:9" x14ac:dyDescent="0.2">
      <c r="A773" s="1" t="s">
        <v>773</v>
      </c>
      <c r="B773" t="str">
        <f>HYPERLINK("https://www.suredividend.com/sure-analysis-research-database/","GoPro Inc.")</f>
        <v>GoPro Inc.</v>
      </c>
      <c r="C773">
        <v>-0.27795527156549499</v>
      </c>
      <c r="D773">
        <v>-0.39733333333333298</v>
      </c>
      <c r="E773">
        <v>-0.39733333333333298</v>
      </c>
      <c r="F773">
        <v>-0.34870317002881801</v>
      </c>
      <c r="G773">
        <v>-0.602112676056338</v>
      </c>
      <c r="H773">
        <v>-0.73963133640553003</v>
      </c>
      <c r="I773">
        <v>-0.62950819672131109</v>
      </c>
    </row>
    <row r="774" spans="1:9" x14ac:dyDescent="0.2">
      <c r="A774" s="1" t="s">
        <v>774</v>
      </c>
      <c r="B774" t="str">
        <f>HYPERLINK("https://www.suredividend.com/sure-analysis-research-database/","Green Brick Partners Inc")</f>
        <v>Green Brick Partners Inc</v>
      </c>
      <c r="C774">
        <v>6.8579288661819005E-2</v>
      </c>
      <c r="D774">
        <v>0.14339781328847701</v>
      </c>
      <c r="E774">
        <v>0.110702614379085</v>
      </c>
      <c r="F774">
        <v>4.6977281478629E-2</v>
      </c>
      <c r="G774">
        <v>0.71925387290546905</v>
      </c>
      <c r="H774">
        <v>1.469573115349682</v>
      </c>
      <c r="I774">
        <v>5.0895856662933934</v>
      </c>
    </row>
    <row r="775" spans="1:9" x14ac:dyDescent="0.2">
      <c r="A775" s="1" t="s">
        <v>775</v>
      </c>
      <c r="B775" t="str">
        <f>HYPERLINK("https://www.suredividend.com/sure-analysis-GRC/","Gorman-Rupp Co.")</f>
        <v>Gorman-Rupp Co.</v>
      </c>
      <c r="C775">
        <v>0.13447934068037801</v>
      </c>
      <c r="D775">
        <v>0.16637142294773799</v>
      </c>
      <c r="E775">
        <v>0.20768659316674201</v>
      </c>
      <c r="F775">
        <v>3.932695517372E-2</v>
      </c>
      <c r="G775">
        <v>0.34878649598190797</v>
      </c>
      <c r="H775">
        <v>3.0838166264038999E-2</v>
      </c>
      <c r="I775">
        <v>0.181981379128409</v>
      </c>
    </row>
    <row r="776" spans="1:9" x14ac:dyDescent="0.2">
      <c r="A776" s="1" t="s">
        <v>776</v>
      </c>
      <c r="B776" t="str">
        <f>HYPERLINK("https://www.suredividend.com/sure-analysis-research-database/","Grindr Inc")</f>
        <v>Grindr Inc</v>
      </c>
      <c r="C776">
        <v>-1.9675925925925E-2</v>
      </c>
      <c r="D776">
        <v>0.236496350364963</v>
      </c>
      <c r="E776">
        <v>0.62260536398467403</v>
      </c>
      <c r="F776">
        <v>-3.5307517084282002E-2</v>
      </c>
      <c r="G776">
        <v>0.40231788079470199</v>
      </c>
      <c r="H776">
        <v>-0.170421155729676</v>
      </c>
      <c r="I776">
        <v>-0.20618556701030899</v>
      </c>
    </row>
    <row r="777" spans="1:9" x14ac:dyDescent="0.2">
      <c r="A777" s="1" t="s">
        <v>777</v>
      </c>
      <c r="B777" t="str">
        <f>HYPERLINK("https://www.suredividend.com/sure-analysis-research-database/","Granite Ridge Resources Inc")</f>
        <v>Granite Ridge Resources Inc</v>
      </c>
      <c r="C777">
        <v>0.15311909262759901</v>
      </c>
      <c r="D777">
        <v>-6.1585584411350007E-3</v>
      </c>
      <c r="E777">
        <v>-0.19748457460104399</v>
      </c>
      <c r="F777">
        <v>1.3289036544850001E-2</v>
      </c>
      <c r="G777">
        <v>-1.5525644750008E-2</v>
      </c>
      <c r="H777">
        <v>-0.38008130081300801</v>
      </c>
      <c r="I777">
        <v>-0.38569371292762211</v>
      </c>
    </row>
    <row r="778" spans="1:9" x14ac:dyDescent="0.2">
      <c r="A778" s="1" t="s">
        <v>778</v>
      </c>
      <c r="B778" t="str">
        <f>HYPERLINK("https://www.suredividend.com/sure-analysis-research-database/","Graphite Bio Inc")</f>
        <v>Graphite Bio Inc</v>
      </c>
      <c r="C778">
        <v>6.1151079136689997E-2</v>
      </c>
      <c r="D778">
        <v>0.25531914893617003</v>
      </c>
      <c r="E778">
        <v>0.16600790513833999</v>
      </c>
      <c r="F778">
        <v>0.12595419847328199</v>
      </c>
      <c r="G778">
        <v>0.25531914893617003</v>
      </c>
      <c r="H778">
        <v>-0.67149220489977701</v>
      </c>
      <c r="I778">
        <v>-0.84054054054054006</v>
      </c>
    </row>
    <row r="779" spans="1:9" x14ac:dyDescent="0.2">
      <c r="A779" s="1" t="s">
        <v>779</v>
      </c>
      <c r="B779" t="str">
        <f>HYPERLINK("https://www.suredividend.com/sure-analysis-research-database/","Gritstone Bio Inc")</f>
        <v>Gritstone Bio Inc</v>
      </c>
      <c r="C779">
        <v>-0.17509727626459101</v>
      </c>
      <c r="D779">
        <v>0.60606060606060608</v>
      </c>
      <c r="E779">
        <v>0.292682926829268</v>
      </c>
      <c r="F779">
        <v>3.9215686274509012E-2</v>
      </c>
      <c r="G779">
        <v>-0.21771217712177099</v>
      </c>
      <c r="H779">
        <v>-0.5930902111324371</v>
      </c>
      <c r="I779">
        <v>-0.82450331125827803</v>
      </c>
    </row>
    <row r="780" spans="1:9" x14ac:dyDescent="0.2">
      <c r="A780" s="1" t="s">
        <v>780</v>
      </c>
      <c r="B780" t="str">
        <f>HYPERLINK("https://www.suredividend.com/sure-analysis-research-database/","GrowGeneration Corp")</f>
        <v>GrowGeneration Corp</v>
      </c>
      <c r="C780">
        <v>-7.1129707112970009E-2</v>
      </c>
      <c r="D780">
        <v>-0.15909090909090901</v>
      </c>
      <c r="E780">
        <v>-0.19855595667869999</v>
      </c>
      <c r="F780">
        <v>-0.115537848605577</v>
      </c>
      <c r="G780">
        <v>-0.52462526766595208</v>
      </c>
      <c r="H780">
        <v>-0.73851590106007003</v>
      </c>
      <c r="I780">
        <v>-0.48932646301067312</v>
      </c>
    </row>
    <row r="781" spans="1:9" x14ac:dyDescent="0.2">
      <c r="A781" s="1" t="s">
        <v>781</v>
      </c>
      <c r="B781" t="str">
        <f>HYPERLINK("https://www.suredividend.com/sure-analysis-research-database/","Globalstar Inc.")</f>
        <v>Globalstar Inc.</v>
      </c>
      <c r="C781">
        <v>2.3809523809523E-2</v>
      </c>
      <c r="D781">
        <v>0.20279720279720201</v>
      </c>
      <c r="E781">
        <v>0.592592592592592</v>
      </c>
      <c r="F781">
        <v>-0.11340206185567001</v>
      </c>
      <c r="G781">
        <v>0.38709677419354799</v>
      </c>
      <c r="H781">
        <v>0.72</v>
      </c>
      <c r="I781">
        <v>1.720658019614046</v>
      </c>
    </row>
    <row r="782" spans="1:9" x14ac:dyDescent="0.2">
      <c r="A782" s="1" t="s">
        <v>782</v>
      </c>
      <c r="B782" t="str">
        <f>HYPERLINK("https://www.suredividend.com/sure-analysis-research-database/","Great Southern Bancorp, Inc.")</f>
        <v>Great Southern Bancorp, Inc.</v>
      </c>
      <c r="C782">
        <v>-9.6757044125465014E-2</v>
      </c>
      <c r="D782">
        <v>-1.4771659753122E-2</v>
      </c>
      <c r="E782">
        <v>-4.4552434563000006E-3</v>
      </c>
      <c r="F782">
        <v>-0.14119629317607399</v>
      </c>
      <c r="G782">
        <v>-8.8610582631210008E-2</v>
      </c>
      <c r="H782">
        <v>-0.103931310190605</v>
      </c>
      <c r="I782">
        <v>7.1171879268820001E-2</v>
      </c>
    </row>
    <row r="783" spans="1:9" x14ac:dyDescent="0.2">
      <c r="A783" s="1" t="s">
        <v>783</v>
      </c>
      <c r="B783" t="str">
        <f>HYPERLINK("https://www.suredividend.com/sure-analysis-research-database/","Goosehead Insurance Inc")</f>
        <v>Goosehead Insurance Inc</v>
      </c>
      <c r="C783">
        <v>0.16735126540347101</v>
      </c>
      <c r="D783">
        <v>0.20420995079278201</v>
      </c>
      <c r="E783">
        <v>0.45619834710743812</v>
      </c>
      <c r="F783">
        <v>0.16226912928759801</v>
      </c>
      <c r="G783">
        <v>1.1667486473192319</v>
      </c>
      <c r="H783">
        <v>-2.3498115717135001E-2</v>
      </c>
      <c r="I783">
        <v>1.765300965815104</v>
      </c>
    </row>
    <row r="784" spans="1:9" x14ac:dyDescent="0.2">
      <c r="A784" s="1" t="s">
        <v>784</v>
      </c>
      <c r="B784" t="str">
        <f>HYPERLINK("https://www.suredividend.com/sure-analysis-research-database/","Goodyear Tire &amp; Rubber Co.")</f>
        <v>Goodyear Tire &amp; Rubber Co.</v>
      </c>
      <c r="C784">
        <v>-9.2307692307692008E-2</v>
      </c>
      <c r="D784">
        <v>-0.12807881773398999</v>
      </c>
      <c r="E784">
        <v>-2.1327014218009002E-2</v>
      </c>
      <c r="F784">
        <v>-0.134776536312849</v>
      </c>
      <c r="G784">
        <v>0.05</v>
      </c>
      <c r="H784">
        <v>-0.22610868207370299</v>
      </c>
      <c r="I784">
        <v>-0.33352698166795702</v>
      </c>
    </row>
    <row r="785" spans="1:9" x14ac:dyDescent="0.2">
      <c r="A785" s="1" t="s">
        <v>785</v>
      </c>
      <c r="B785" t="str">
        <f>HYPERLINK("https://www.suredividend.com/sure-analysis-research-database/","Chart Industries Inc")</f>
        <v>Chart Industries Inc</v>
      </c>
      <c r="C785">
        <v>1.191800413157E-3</v>
      </c>
      <c r="D785">
        <v>-9.9780012570710001E-3</v>
      </c>
      <c r="E785">
        <v>-0.223071706023799</v>
      </c>
      <c r="F785">
        <v>-7.5698672339177001E-2</v>
      </c>
      <c r="G785">
        <v>-4.7327436304528001E-2</v>
      </c>
      <c r="H785">
        <v>7.242553191489301E-2</v>
      </c>
      <c r="I785">
        <v>0.47899061032863799</v>
      </c>
    </row>
    <row r="786" spans="1:9" x14ac:dyDescent="0.2">
      <c r="A786" s="1" t="s">
        <v>786</v>
      </c>
      <c r="B786" t="str">
        <f>HYPERLINK("https://www.suredividend.com/sure-analysis-research-database/","Gray Television, Inc.")</f>
        <v>Gray Television, Inc.</v>
      </c>
      <c r="C786">
        <v>-9.3049327354260011E-2</v>
      </c>
      <c r="D786">
        <v>-1.0046377308158E-2</v>
      </c>
      <c r="E786">
        <v>1.9251121302222E-2</v>
      </c>
      <c r="F786">
        <v>-9.709821428571401E-2</v>
      </c>
      <c r="G786">
        <v>-0.33639025830742603</v>
      </c>
      <c r="H786">
        <v>-0.59467719470525104</v>
      </c>
      <c r="I786">
        <v>-0.51252726593475406</v>
      </c>
    </row>
    <row r="787" spans="1:9" x14ac:dyDescent="0.2">
      <c r="A787" s="1" t="s">
        <v>787</v>
      </c>
      <c r="B787" t="str">
        <f>HYPERLINK("https://www.suredividend.com/sure-analysis-research-database/","Getty Realty Corp.")</f>
        <v>Getty Realty Corp.</v>
      </c>
      <c r="C787">
        <v>-1.7587939698492001E-2</v>
      </c>
      <c r="D787">
        <v>-4.3842794759825013E-2</v>
      </c>
      <c r="E787">
        <v>-6.6482032251903009E-2</v>
      </c>
      <c r="F787">
        <v>-6.3312799452429E-2</v>
      </c>
      <c r="G787">
        <v>-0.16608777253726201</v>
      </c>
      <c r="H787">
        <v>9.3885511712208006E-2</v>
      </c>
      <c r="I787">
        <v>6.1021325094297002E-2</v>
      </c>
    </row>
    <row r="788" spans="1:9" x14ac:dyDescent="0.2">
      <c r="A788" s="1" t="s">
        <v>788</v>
      </c>
      <c r="B788" t="str">
        <f>HYPERLINK("https://www.suredividend.com/sure-analysis-research-database/","Granite Construction Inc.")</f>
        <v>Granite Construction Inc.</v>
      </c>
      <c r="C788">
        <v>0.104612668285146</v>
      </c>
      <c r="D788">
        <v>8.1596224245908011E-2</v>
      </c>
      <c r="E788">
        <v>0.24503416692164301</v>
      </c>
      <c r="F788">
        <v>-1.5926071569013E-2</v>
      </c>
      <c r="G788">
        <v>0.157546602525556</v>
      </c>
      <c r="H788">
        <v>0.45498838625653698</v>
      </c>
      <c r="I788">
        <v>0.12658746415403499</v>
      </c>
    </row>
    <row r="789" spans="1:9" x14ac:dyDescent="0.2">
      <c r="A789" s="1" t="s">
        <v>789</v>
      </c>
      <c r="B789" t="str">
        <f>HYPERLINK("https://www.suredividend.com/sure-analysis-research-database/","ESS Tech Inc")</f>
        <v>ESS Tech Inc</v>
      </c>
      <c r="C789">
        <v>-6.8404907975460005E-2</v>
      </c>
      <c r="D789">
        <v>-0.221282051282051</v>
      </c>
      <c r="E789">
        <v>-0.20773913043478201</v>
      </c>
      <c r="F789">
        <v>-0.20078947368420999</v>
      </c>
      <c r="G789">
        <v>-0.605584415584415</v>
      </c>
      <c r="H789">
        <v>-0.80193478260869511</v>
      </c>
      <c r="I789">
        <v>-0.91256238003838708</v>
      </c>
    </row>
    <row r="790" spans="1:9" x14ac:dyDescent="0.2">
      <c r="A790" s="1" t="s">
        <v>790</v>
      </c>
      <c r="B790" t="str">
        <f>HYPERLINK("https://www.suredividend.com/sure-analysis-GWRS/","Global Water Resources Inc")</f>
        <v>Global Water Resources Inc</v>
      </c>
      <c r="C790">
        <v>2.8813391114492E-2</v>
      </c>
      <c r="D790">
        <v>7.0632482163297011E-2</v>
      </c>
      <c r="E790">
        <v>0.135761891719163</v>
      </c>
      <c r="F790">
        <v>-4.1270085931178001E-2</v>
      </c>
      <c r="G790">
        <v>-7.9772754172091009E-2</v>
      </c>
      <c r="H790">
        <v>-0.12296780925254799</v>
      </c>
      <c r="I790">
        <v>0.51553914939756107</v>
      </c>
    </row>
    <row r="791" spans="1:9" x14ac:dyDescent="0.2">
      <c r="A791" s="1" t="s">
        <v>791</v>
      </c>
      <c r="B791" t="str">
        <f>HYPERLINK("https://www.suredividend.com/sure-analysis-research-database/","Hawaiian Holdings, Inc.")</f>
        <v>Hawaiian Holdings, Inc.</v>
      </c>
      <c r="C791">
        <v>2.875629043853E-3</v>
      </c>
      <c r="D791">
        <v>1.751479289940828</v>
      </c>
      <c r="E791">
        <v>0.53973509933774799</v>
      </c>
      <c r="F791">
        <v>-1.7605633802816E-2</v>
      </c>
      <c r="G791">
        <v>0.32730732635585102</v>
      </c>
      <c r="H791">
        <v>-0.29402834008097101</v>
      </c>
      <c r="I791">
        <v>-0.53880181040952402</v>
      </c>
    </row>
    <row r="792" spans="1:9" x14ac:dyDescent="0.2">
      <c r="A792" s="1" t="s">
        <v>792</v>
      </c>
      <c r="B792" t="str">
        <f>HYPERLINK("https://www.suredividend.com/sure-analysis-research-database/","Haemonetics Corp.")</f>
        <v>Haemonetics Corp.</v>
      </c>
      <c r="C792">
        <v>-0.14923773225345299</v>
      </c>
      <c r="D792">
        <v>-0.13867116845532301</v>
      </c>
      <c r="E792">
        <v>-0.15895443306252199</v>
      </c>
      <c r="F792">
        <v>-0.16465910419833901</v>
      </c>
      <c r="G792">
        <v>-0.121186023622047</v>
      </c>
      <c r="H792">
        <v>0.28656340057636798</v>
      </c>
      <c r="I792">
        <v>-0.197505898213683</v>
      </c>
    </row>
    <row r="793" spans="1:9" x14ac:dyDescent="0.2">
      <c r="A793" s="1" t="s">
        <v>793</v>
      </c>
      <c r="B793" t="str">
        <f>HYPERLINK("https://www.suredividend.com/sure-analysis-research-database/","Hanmi Financial Corp.")</f>
        <v>Hanmi Financial Corp.</v>
      </c>
      <c r="C793">
        <v>-0.14138168205752599</v>
      </c>
      <c r="D793">
        <v>-6.6342982552935012E-2</v>
      </c>
      <c r="E793">
        <v>-9.2766555670059009E-2</v>
      </c>
      <c r="F793">
        <v>-0.190509346614011</v>
      </c>
      <c r="G793">
        <v>-0.27752451340825302</v>
      </c>
      <c r="H793">
        <v>-0.33034045790114702</v>
      </c>
      <c r="I793">
        <v>-0.14870069255406501</v>
      </c>
    </row>
    <row r="794" spans="1:9" x14ac:dyDescent="0.2">
      <c r="A794" s="1" t="s">
        <v>794</v>
      </c>
      <c r="B794" t="str">
        <f>HYPERLINK("https://www.suredividend.com/sure-analysis-research-database/","Hain Celestial Group Inc")</f>
        <v>Hain Celestial Group Inc</v>
      </c>
      <c r="C794">
        <v>-4.7713717693836998E-2</v>
      </c>
      <c r="D794">
        <v>-0.13615870153291201</v>
      </c>
      <c r="E794">
        <v>-0.22303325223033199</v>
      </c>
      <c r="F794">
        <v>-0.125114155251141</v>
      </c>
      <c r="G794">
        <v>-0.49895397489539711</v>
      </c>
      <c r="H794">
        <v>-0.73411046350263609</v>
      </c>
      <c r="I794">
        <v>-0.48160173160173098</v>
      </c>
    </row>
    <row r="795" spans="1:9" x14ac:dyDescent="0.2">
      <c r="A795" s="1" t="s">
        <v>795</v>
      </c>
      <c r="B795" t="str">
        <f>HYPERLINK("https://www.suredividend.com/sure-analysis-research-database/","Halozyme Therapeutics Inc.")</f>
        <v>Halozyme Therapeutics Inc.</v>
      </c>
      <c r="C795">
        <v>5.4172767203513002E-2</v>
      </c>
      <c r="D795">
        <v>-0.10022494376405899</v>
      </c>
      <c r="E795">
        <v>-0.16782246879334201</v>
      </c>
      <c r="F795">
        <v>-2.5974025974025001E-2</v>
      </c>
      <c r="G795">
        <v>-0.280431740955426</v>
      </c>
      <c r="H795">
        <v>0.10024449877750601</v>
      </c>
      <c r="I795">
        <v>1.1339656194427969</v>
      </c>
    </row>
    <row r="796" spans="1:9" x14ac:dyDescent="0.2">
      <c r="A796" s="1" t="s">
        <v>796</v>
      </c>
      <c r="B796" t="str">
        <f>HYPERLINK("https://www.suredividend.com/sure-analysis-HASI/","Hannon Armstrong Sustainable Infrastructure capital Inc")</f>
        <v>Hannon Armstrong Sustainable Infrastructure capital Inc</v>
      </c>
      <c r="C796">
        <v>0.15552584670231701</v>
      </c>
      <c r="D796">
        <v>8.480107099527201E-2</v>
      </c>
      <c r="E796">
        <v>0.27599476414026503</v>
      </c>
      <c r="F796">
        <v>-5.9825960841188998E-2</v>
      </c>
      <c r="G796">
        <v>-0.19147635855669301</v>
      </c>
      <c r="H796">
        <v>-0.34603763877469601</v>
      </c>
      <c r="I796">
        <v>0.37541440127303999</v>
      </c>
    </row>
    <row r="797" spans="1:9" x14ac:dyDescent="0.2">
      <c r="A797" s="1" t="s">
        <v>797</v>
      </c>
      <c r="B797" t="str">
        <f>HYPERLINK("https://www.suredividend.com/sure-analysis-research-database/","Haynes International Inc.")</f>
        <v>Haynes International Inc.</v>
      </c>
      <c r="C797">
        <v>0.14828384111068199</v>
      </c>
      <c r="D797">
        <v>0.23554638952804399</v>
      </c>
      <c r="E797">
        <v>0.22434377846265099</v>
      </c>
      <c r="F797">
        <v>4.3821209465380997E-2</v>
      </c>
      <c r="G797">
        <v>0.115122597945402</v>
      </c>
      <c r="H797">
        <v>0.60813817836156203</v>
      </c>
      <c r="I797">
        <v>0.94233340943931609</v>
      </c>
    </row>
    <row r="798" spans="1:9" x14ac:dyDescent="0.2">
      <c r="A798" s="1" t="s">
        <v>798</v>
      </c>
      <c r="B798" t="str">
        <f>HYPERLINK("https://www.suredividend.com/sure-analysis-research-database/","Home Bancorp Inc")</f>
        <v>Home Bancorp Inc</v>
      </c>
      <c r="C798">
        <v>-6.4283379842622002E-2</v>
      </c>
      <c r="D798">
        <v>4.5667030131600001E-3</v>
      </c>
      <c r="E798">
        <v>0.152618165039313</v>
      </c>
      <c r="F798">
        <v>-0.103039592054116</v>
      </c>
      <c r="G798">
        <v>-1.116885049043E-2</v>
      </c>
      <c r="H798">
        <v>3.7377229554430009E-3</v>
      </c>
      <c r="I798">
        <v>0.248544985525331</v>
      </c>
    </row>
    <row r="799" spans="1:9" x14ac:dyDescent="0.2">
      <c r="A799" s="1" t="s">
        <v>799</v>
      </c>
      <c r="B799" t="str">
        <f>HYPERLINK("https://www.suredividend.com/sure-analysis-HBI/","Hanesbrands Inc")</f>
        <v>Hanesbrands Inc</v>
      </c>
      <c r="C799">
        <v>0.123762376237623</v>
      </c>
      <c r="D799">
        <v>0.13500000000000001</v>
      </c>
      <c r="E799">
        <v>-0.16697247706422</v>
      </c>
      <c r="F799">
        <v>1.7937219730940999E-2</v>
      </c>
      <c r="G799">
        <v>-0.204903677758318</v>
      </c>
      <c r="H799">
        <v>-0.68664803119715601</v>
      </c>
      <c r="I799">
        <v>-0.71614000425164703</v>
      </c>
    </row>
    <row r="800" spans="1:9" x14ac:dyDescent="0.2">
      <c r="A800" s="1" t="s">
        <v>800</v>
      </c>
      <c r="B800" t="str">
        <f>HYPERLINK("https://www.suredividend.com/sure-analysis-research-database/","Harvard Bioscience Inc.")</f>
        <v>Harvard Bioscience Inc.</v>
      </c>
      <c r="C800">
        <v>6.9767441860460007E-3</v>
      </c>
      <c r="D800">
        <v>2.6066350710900001E-2</v>
      </c>
      <c r="E800">
        <v>1.8823529411764E-2</v>
      </c>
      <c r="F800">
        <v>-0.19065420560747601</v>
      </c>
      <c r="G800">
        <v>0.43377483443708598</v>
      </c>
      <c r="H800">
        <v>-0.17208413001912001</v>
      </c>
      <c r="I800">
        <v>0.11025641025641</v>
      </c>
    </row>
    <row r="801" spans="1:9" x14ac:dyDescent="0.2">
      <c r="A801" s="1" t="s">
        <v>801</v>
      </c>
      <c r="B801" t="str">
        <f>HYPERLINK("https://www.suredividend.com/sure-analysis-HBNC/","Horizon Bancorp Inc (IN)")</f>
        <v>Horizon Bancorp Inc (IN)</v>
      </c>
      <c r="C801">
        <v>-7.795100222717101E-2</v>
      </c>
      <c r="D801">
        <v>0.13061209627498799</v>
      </c>
      <c r="E801">
        <v>0.15358894337940199</v>
      </c>
      <c r="F801">
        <v>-0.11194371353392001</v>
      </c>
      <c r="G801">
        <v>-0.122354520722185</v>
      </c>
      <c r="H801">
        <v>-0.28720235533134703</v>
      </c>
      <c r="I801">
        <v>-8.6623669831370001E-2</v>
      </c>
    </row>
    <row r="802" spans="1:9" x14ac:dyDescent="0.2">
      <c r="A802" s="1" t="s">
        <v>802</v>
      </c>
      <c r="B802" t="str">
        <f>HYPERLINK("https://www.suredividend.com/sure-analysis-research-database/","HBT Financial Inc")</f>
        <v>HBT Financial Inc</v>
      </c>
      <c r="C802">
        <v>-2.7042350487490999E-2</v>
      </c>
      <c r="D802">
        <v>-7.3339531040180006E-3</v>
      </c>
      <c r="E802">
        <v>3.7427266740794003E-2</v>
      </c>
      <c r="F802">
        <v>-7.1286717273969999E-2</v>
      </c>
      <c r="G802">
        <v>-8.8706503752803006E-2</v>
      </c>
      <c r="H802">
        <v>0.12363491803662</v>
      </c>
      <c r="I802">
        <v>0.50386529373102507</v>
      </c>
    </row>
    <row r="803" spans="1:9" x14ac:dyDescent="0.2">
      <c r="A803" s="1" t="s">
        <v>803</v>
      </c>
      <c r="B803" t="str">
        <f>HYPERLINK("https://www.suredividend.com/sure-analysis-research-database/","Health Catalyst Inc")</f>
        <v>Health Catalyst Inc</v>
      </c>
      <c r="C803">
        <v>5.2004333694474013E-2</v>
      </c>
      <c r="D803">
        <v>0.25290322580645103</v>
      </c>
      <c r="E803">
        <v>-0.185402684563758</v>
      </c>
      <c r="F803">
        <v>4.8596112311015002E-2</v>
      </c>
      <c r="G803">
        <v>-0.28180473372781001</v>
      </c>
      <c r="H803">
        <v>-0.64248895434462405</v>
      </c>
      <c r="I803">
        <v>-0.75210620372734205</v>
      </c>
    </row>
    <row r="804" spans="1:9" x14ac:dyDescent="0.2">
      <c r="A804" s="1" t="s">
        <v>804</v>
      </c>
      <c r="B804" t="str">
        <f>HYPERLINK("https://www.suredividend.com/sure-analysis-research-database/","Warrior Met Coal Inc")</f>
        <v>Warrior Met Coal Inc</v>
      </c>
      <c r="C804">
        <v>-0.203146198629548</v>
      </c>
      <c r="D804">
        <v>4.5879314393050007E-2</v>
      </c>
      <c r="E804">
        <v>0.42217499802050001</v>
      </c>
      <c r="F804">
        <v>-8.5519076321710005E-2</v>
      </c>
      <c r="G804">
        <v>0.37837817765928211</v>
      </c>
      <c r="H804">
        <v>0.92608376803973902</v>
      </c>
      <c r="I804">
        <v>1.508209792288876</v>
      </c>
    </row>
    <row r="805" spans="1:9" x14ac:dyDescent="0.2">
      <c r="A805" s="1" t="s">
        <v>805</v>
      </c>
      <c r="B805" t="str">
        <f>HYPERLINK("https://www.suredividend.com/sure-analysis-research-database/","HCI Group Inc")</f>
        <v>HCI Group Inc</v>
      </c>
      <c r="C805">
        <v>0.10934087288149</v>
      </c>
      <c r="D805">
        <v>0.17573094766660399</v>
      </c>
      <c r="E805">
        <v>0.73617965777946104</v>
      </c>
      <c r="F805">
        <v>0.12165253589759099</v>
      </c>
      <c r="G805">
        <v>0.90673372723277512</v>
      </c>
      <c r="H805">
        <v>0.65599368951390602</v>
      </c>
      <c r="I805">
        <v>1.333715034317229</v>
      </c>
    </row>
    <row r="806" spans="1:9" x14ac:dyDescent="0.2">
      <c r="A806" s="1" t="s">
        <v>806</v>
      </c>
      <c r="B806" t="str">
        <f>HYPERLINK("https://www.suredividend.com/sure-analysis-research-database/","Hackett Group Inc (The)")</f>
        <v>Hackett Group Inc (The)</v>
      </c>
      <c r="C806">
        <v>-2.0931225971806001E-2</v>
      </c>
      <c r="D806">
        <v>2.9612592539351001E-2</v>
      </c>
      <c r="E806">
        <v>-1.1200355622179999E-3</v>
      </c>
      <c r="F806">
        <v>6.5876152832670008E-3</v>
      </c>
      <c r="G806">
        <v>8.5304354002414012E-2</v>
      </c>
      <c r="H806">
        <v>0.241193321816734</v>
      </c>
      <c r="I806">
        <v>0.52789814012399106</v>
      </c>
    </row>
    <row r="807" spans="1:9" x14ac:dyDescent="0.2">
      <c r="A807" s="1" t="s">
        <v>807</v>
      </c>
      <c r="B807" t="str">
        <f>HYPERLINK("https://www.suredividend.com/sure-analysis-research-database/","Healthcare Services Group, Inc.")</f>
        <v>Healthcare Services Group, Inc.</v>
      </c>
      <c r="C807">
        <v>0.26200417536534398</v>
      </c>
      <c r="D807">
        <v>0.17951219512195099</v>
      </c>
      <c r="E807">
        <v>-2.5000000000000001E-2</v>
      </c>
      <c r="F807">
        <v>0.16586306653808999</v>
      </c>
      <c r="G807">
        <v>-0.156315422191207</v>
      </c>
      <c r="H807">
        <v>-0.25136537580343499</v>
      </c>
      <c r="I807">
        <v>-0.649957873342077</v>
      </c>
    </row>
    <row r="808" spans="1:9" x14ac:dyDescent="0.2">
      <c r="A808" s="1" t="s">
        <v>808</v>
      </c>
      <c r="B808" t="str">
        <f>HYPERLINK("https://www.suredividend.com/sure-analysis-research-database/","Hudson Technologies, Inc.")</f>
        <v>Hudson Technologies, Inc.</v>
      </c>
      <c r="C808">
        <v>0.19416666666666599</v>
      </c>
      <c r="D808">
        <v>0.108275328692962</v>
      </c>
      <c r="E808">
        <v>0.37523992322456801</v>
      </c>
      <c r="F808">
        <v>6.2268346923647008E-2</v>
      </c>
      <c r="G808">
        <v>0.31952117863719998</v>
      </c>
      <c r="H808">
        <v>2.6743589743589742</v>
      </c>
      <c r="I808">
        <v>10.464</v>
      </c>
    </row>
    <row r="809" spans="1:9" x14ac:dyDescent="0.2">
      <c r="A809" s="1" t="s">
        <v>809</v>
      </c>
      <c r="B809" t="str">
        <f>HYPERLINK("https://www.suredividend.com/sure-analysis-research-database/","Turtle Beach Corp")</f>
        <v>Turtle Beach Corp</v>
      </c>
      <c r="C809">
        <v>9.2093023255813006E-2</v>
      </c>
      <c r="D809">
        <v>0.113851992409867</v>
      </c>
      <c r="E809">
        <v>6.4369900271985012E-2</v>
      </c>
      <c r="F809">
        <v>7.2146118721461011E-2</v>
      </c>
      <c r="G809">
        <v>0.37309941520467799</v>
      </c>
      <c r="H809">
        <v>-0.45420734542073399</v>
      </c>
      <c r="I809">
        <v>-0.25696202531645501</v>
      </c>
    </row>
    <row r="810" spans="1:9" x14ac:dyDescent="0.2">
      <c r="A810" s="1" t="s">
        <v>810</v>
      </c>
      <c r="B810" t="str">
        <f>HYPERLINK("https://www.suredividend.com/sure-analysis-research-database/","H&amp;E Equipment Services Inc")</f>
        <v>H&amp;E Equipment Services Inc</v>
      </c>
      <c r="C810">
        <v>0.114514802631578</v>
      </c>
      <c r="D810">
        <v>0.19417385902536299</v>
      </c>
      <c r="E810">
        <v>0.220289078626594</v>
      </c>
      <c r="F810">
        <v>3.6123853211008999E-2</v>
      </c>
      <c r="G810">
        <v>0.10131218878940899</v>
      </c>
      <c r="H810">
        <v>0.50919968707979102</v>
      </c>
      <c r="I810">
        <v>1.270680533972246</v>
      </c>
    </row>
    <row r="811" spans="1:9" x14ac:dyDescent="0.2">
      <c r="A811" s="1" t="s">
        <v>811</v>
      </c>
      <c r="B811" t="str">
        <f>HYPERLINK("https://www.suredividend.com/sure-analysis-research-database/","Helen of Troy Ltd")</f>
        <v>Helen of Troy Ltd</v>
      </c>
      <c r="C811">
        <v>4.1907024092296997E-2</v>
      </c>
      <c r="D811">
        <v>0.17564851153441099</v>
      </c>
      <c r="E811">
        <v>4.9091801669120007E-3</v>
      </c>
      <c r="F811">
        <v>1.6637695555002999E-2</v>
      </c>
      <c r="G811">
        <v>5.2261823166552007E-2</v>
      </c>
      <c r="H811">
        <v>-0.39714327786776599</v>
      </c>
      <c r="I811">
        <v>6.7814293166404999E-2</v>
      </c>
    </row>
    <row r="812" spans="1:9" x14ac:dyDescent="0.2">
      <c r="A812" s="1" t="s">
        <v>812</v>
      </c>
      <c r="B812" t="str">
        <f>HYPERLINK("https://www.suredividend.com/sure-analysis-research-database/","HF Foods Group Inc.")</f>
        <v>HF Foods Group Inc.</v>
      </c>
      <c r="C812">
        <v>-0.20576923076923001</v>
      </c>
      <c r="D812">
        <v>-9.8253275109170007E-2</v>
      </c>
      <c r="E812">
        <v>-0.11752136752136701</v>
      </c>
      <c r="F812">
        <v>-0.22659176029962499</v>
      </c>
      <c r="G812">
        <v>-2.8235294117647001E-2</v>
      </c>
      <c r="H812">
        <v>-0.3392</v>
      </c>
      <c r="I812">
        <v>-0.68497330282227309</v>
      </c>
    </row>
    <row r="813" spans="1:9" x14ac:dyDescent="0.2">
      <c r="A813" s="1" t="s">
        <v>813</v>
      </c>
      <c r="B813" t="str">
        <f>HYPERLINK("https://www.suredividend.com/sure-analysis-research-database/","Heritage Financial Corp.")</f>
        <v>Heritage Financial Corp.</v>
      </c>
      <c r="C813">
        <v>-7.3837921636286011E-2</v>
      </c>
      <c r="D813">
        <v>6.1871807074176013E-2</v>
      </c>
      <c r="E813">
        <v>9.0874820347289012E-2</v>
      </c>
      <c r="F813">
        <v>-0.11237640608300099</v>
      </c>
      <c r="G813">
        <v>-0.28554619838823497</v>
      </c>
      <c r="H813">
        <v>-0.18336030478474999</v>
      </c>
      <c r="I813">
        <v>-0.29162108613000198</v>
      </c>
    </row>
    <row r="814" spans="1:9" x14ac:dyDescent="0.2">
      <c r="A814" s="1" t="s">
        <v>814</v>
      </c>
      <c r="B814" t="str">
        <f>HYPERLINK("https://www.suredividend.com/sure-analysis-research-database/","Hilton Grand Vacations Inc")</f>
        <v>Hilton Grand Vacations Inc</v>
      </c>
      <c r="C814">
        <v>5.1571120172703003E-2</v>
      </c>
      <c r="D814">
        <v>0.21474092546411699</v>
      </c>
      <c r="E814">
        <v>1.1070110701107E-2</v>
      </c>
      <c r="F814">
        <v>9.1090094574415012E-2</v>
      </c>
      <c r="G814">
        <v>-6.8423289417764002E-2</v>
      </c>
      <c r="H814">
        <v>-0.150222911416941</v>
      </c>
      <c r="I814">
        <v>0.37343358395989901</v>
      </c>
    </row>
    <row r="815" spans="1:9" x14ac:dyDescent="0.2">
      <c r="A815" s="1" t="s">
        <v>815</v>
      </c>
      <c r="B815" t="str">
        <f>HYPERLINK("https://www.suredividend.com/sure-analysis-HI/","Hillenbrand Inc")</f>
        <v>Hillenbrand Inc</v>
      </c>
      <c r="C815">
        <v>1.9188354653727001E-2</v>
      </c>
      <c r="D815">
        <v>0.16492176293678201</v>
      </c>
      <c r="E815">
        <v>4.7900457393469001E-2</v>
      </c>
      <c r="F815">
        <v>-3.4273772204806E-2</v>
      </c>
      <c r="G815">
        <v>-9.9094756012640013E-3</v>
      </c>
      <c r="H815">
        <v>3.454872760358E-3</v>
      </c>
      <c r="I815">
        <v>0.13854189765195701</v>
      </c>
    </row>
    <row r="816" spans="1:9" x14ac:dyDescent="0.2">
      <c r="A816" s="1" t="s">
        <v>816</v>
      </c>
      <c r="B816" t="str">
        <f>HYPERLINK("https://www.suredividend.com/sure-analysis-research-database/","Hibbett Inc")</f>
        <v>Hibbett Inc</v>
      </c>
      <c r="C816">
        <v>0.172242874845105</v>
      </c>
      <c r="D816">
        <v>0.42254302121220599</v>
      </c>
      <c r="E816">
        <v>0.75404847274016806</v>
      </c>
      <c r="F816">
        <v>5.0819216884198007E-2</v>
      </c>
      <c r="G816">
        <v>8.1266430449194002E-2</v>
      </c>
      <c r="H816">
        <v>0.60690664101731107</v>
      </c>
      <c r="I816">
        <v>3.4916079101678421</v>
      </c>
    </row>
    <row r="817" spans="1:9" x14ac:dyDescent="0.2">
      <c r="A817" s="1" t="s">
        <v>817</v>
      </c>
      <c r="B817" t="str">
        <f>HYPERLINK("https://www.suredividend.com/sure-analysis-HIFS/","Hingham Institution For Savings")</f>
        <v>Hingham Institution For Savings</v>
      </c>
      <c r="C817">
        <v>-0.119740411724027</v>
      </c>
      <c r="D817">
        <v>7.9506769313410011E-3</v>
      </c>
      <c r="E817">
        <v>-0.168848598147739</v>
      </c>
      <c r="F817">
        <v>-0.148765432098765</v>
      </c>
      <c r="G817">
        <v>-0.41811317888553901</v>
      </c>
      <c r="H817">
        <v>-0.53119967046861005</v>
      </c>
      <c r="I817">
        <v>-6.3594432495106004E-2</v>
      </c>
    </row>
    <row r="818" spans="1:9" x14ac:dyDescent="0.2">
      <c r="A818" s="1" t="s">
        <v>818</v>
      </c>
      <c r="B818" t="str">
        <f>HYPERLINK("https://www.suredividend.com/sure-analysis-research-database/","Hims &amp; Hers Health Inc")</f>
        <v>Hims &amp; Hers Health Inc</v>
      </c>
      <c r="C818">
        <v>0.15504807692307601</v>
      </c>
      <c r="D818">
        <v>0.241602067183462</v>
      </c>
      <c r="E818">
        <v>0.41116005873715111</v>
      </c>
      <c r="F818">
        <v>7.9775280898876005E-2</v>
      </c>
      <c r="G818">
        <v>-2.0768431983380002E-3</v>
      </c>
      <c r="H818">
        <v>1.184090909090908</v>
      </c>
      <c r="I818">
        <v>-1.9387755102040001E-2</v>
      </c>
    </row>
    <row r="819" spans="1:9" x14ac:dyDescent="0.2">
      <c r="A819" s="1" t="s">
        <v>819</v>
      </c>
      <c r="B819" t="str">
        <f>HYPERLINK("https://www.suredividend.com/sure-analysis-research-database/","Hippo Holdings Inc")</f>
        <v>Hippo Holdings Inc</v>
      </c>
      <c r="C819">
        <v>0.30011862396203998</v>
      </c>
      <c r="D819">
        <v>0.30321046373365002</v>
      </c>
      <c r="E819">
        <v>1.9534883720929999E-2</v>
      </c>
      <c r="F819">
        <v>0.20175438596491199</v>
      </c>
      <c r="G819">
        <v>-0.37727272727272698</v>
      </c>
      <c r="H819">
        <v>-0.76173913043478203</v>
      </c>
      <c r="I819">
        <v>-0.95576185671039304</v>
      </c>
    </row>
    <row r="820" spans="1:9" x14ac:dyDescent="0.2">
      <c r="A820" s="1" t="s">
        <v>820</v>
      </c>
      <c r="B820" t="str">
        <f>HYPERLINK("https://www.suredividend.com/sure-analysis-research-database/","Hecla Mining Co.")</f>
        <v>Hecla Mining Co.</v>
      </c>
      <c r="C820">
        <v>-0.114713216957605</v>
      </c>
      <c r="D820">
        <v>-0.228897866979451</v>
      </c>
      <c r="E820">
        <v>-0.22266745494755699</v>
      </c>
      <c r="F820">
        <v>-0.26195426195426202</v>
      </c>
      <c r="G820">
        <v>-0.30971455238391499</v>
      </c>
      <c r="H820">
        <v>-0.29714104696285698</v>
      </c>
      <c r="I820">
        <v>0.24169289961525001</v>
      </c>
    </row>
    <row r="821" spans="1:9" x14ac:dyDescent="0.2">
      <c r="A821" s="1" t="s">
        <v>821</v>
      </c>
      <c r="B821" t="str">
        <f>HYPERLINK("https://www.suredividend.com/sure-analysis-research-database/","Herbalife Ltd")</f>
        <v>Herbalife Ltd</v>
      </c>
      <c r="C821">
        <v>-0.33440773569701798</v>
      </c>
      <c r="D821">
        <v>-0.347551342812006</v>
      </c>
      <c r="E821">
        <v>-0.46467919637070598</v>
      </c>
      <c r="F821">
        <v>-0.45871559633027498</v>
      </c>
      <c r="G821">
        <v>-0.59569260890846809</v>
      </c>
      <c r="H821">
        <v>-0.8090614886731391</v>
      </c>
      <c r="I821">
        <v>-0.85323383084577109</v>
      </c>
    </row>
    <row r="822" spans="1:9" x14ac:dyDescent="0.2">
      <c r="A822" s="1" t="s">
        <v>822</v>
      </c>
      <c r="B822" t="str">
        <f>HYPERLINK("https://www.suredividend.com/sure-analysis-research-database/","Helios Technologies Inc")</f>
        <v>Helios Technologies Inc</v>
      </c>
      <c r="C822">
        <v>4.9035943822898997E-2</v>
      </c>
      <c r="D822">
        <v>7.000041275259801E-2</v>
      </c>
      <c r="E822">
        <v>-0.22804743470721101</v>
      </c>
      <c r="F822">
        <v>-2.6264563498287999E-2</v>
      </c>
      <c r="G822">
        <v>-0.35343309859154898</v>
      </c>
      <c r="H822">
        <v>-0.40849845581455202</v>
      </c>
      <c r="I822">
        <v>0.158517350157728</v>
      </c>
    </row>
    <row r="823" spans="1:9" x14ac:dyDescent="0.2">
      <c r="A823" s="1" t="s">
        <v>823</v>
      </c>
      <c r="B823" t="str">
        <f>HYPERLINK("https://www.suredividend.com/sure-analysis-research-database/","Harmonic, Inc.")</f>
        <v>Harmonic, Inc.</v>
      </c>
      <c r="C823">
        <v>0.16956521739130401</v>
      </c>
      <c r="D823">
        <v>0.23281393217231799</v>
      </c>
      <c r="E823">
        <v>0.26054358013120898</v>
      </c>
      <c r="F823">
        <v>3.1441717791411E-2</v>
      </c>
      <c r="G823">
        <v>-8.8430361090640012E-3</v>
      </c>
      <c r="H823">
        <v>0.44935344827586199</v>
      </c>
      <c r="I823">
        <v>1.5234521575984989</v>
      </c>
    </row>
    <row r="824" spans="1:9" x14ac:dyDescent="0.2">
      <c r="A824" s="1" t="s">
        <v>824</v>
      </c>
      <c r="B824" t="str">
        <f>HYPERLINK("https://www.suredividend.com/sure-analysis-research-database/","Holley Inc")</f>
        <v>Holley Inc</v>
      </c>
      <c r="C824">
        <v>-3.5164835164835012E-2</v>
      </c>
      <c r="D824">
        <v>7.5980392156862003E-2</v>
      </c>
      <c r="E824">
        <v>-0.25466893039049199</v>
      </c>
      <c r="F824">
        <v>-9.8562628336755012E-2</v>
      </c>
      <c r="G824">
        <v>0.90869565217391302</v>
      </c>
      <c r="H824">
        <v>-0.64823717948717907</v>
      </c>
      <c r="I824">
        <v>-0.54974358974358906</v>
      </c>
    </row>
    <row r="825" spans="1:9" x14ac:dyDescent="0.2">
      <c r="A825" s="1" t="s">
        <v>825</v>
      </c>
      <c r="B825" t="str">
        <f>HYPERLINK("https://www.suredividend.com/sure-analysis-research-database/","Hillman Solutions Corp")</f>
        <v>Hillman Solutions Corp</v>
      </c>
      <c r="C825">
        <v>2.2497187851510001E-3</v>
      </c>
      <c r="D825">
        <v>0.22054794520547899</v>
      </c>
      <c r="E825">
        <v>-3.3622559652928E-2</v>
      </c>
      <c r="F825">
        <v>-3.2573289902280013E-2</v>
      </c>
      <c r="G825">
        <v>-5.0106609808102012E-2</v>
      </c>
      <c r="H825">
        <v>-6.3091482649842004E-2</v>
      </c>
      <c r="I825">
        <v>-9.1743119266055009E-2</v>
      </c>
    </row>
    <row r="826" spans="1:9" x14ac:dyDescent="0.2">
      <c r="A826" s="1" t="s">
        <v>826</v>
      </c>
      <c r="B826" t="str">
        <f>HYPERLINK("https://www.suredividend.com/sure-analysis-research-database/","Hamilton Lane Inc")</f>
        <v>Hamilton Lane Inc</v>
      </c>
      <c r="C826">
        <v>-9.2662791677190007E-3</v>
      </c>
      <c r="D826">
        <v>0.265215450237476</v>
      </c>
      <c r="E826">
        <v>0.30598838035676201</v>
      </c>
      <c r="F826">
        <v>3.6759520451339997E-2</v>
      </c>
      <c r="G826">
        <v>0.50596701495595109</v>
      </c>
      <c r="H826">
        <v>0.61898233036545103</v>
      </c>
      <c r="I826">
        <v>1.9671546750157041</v>
      </c>
    </row>
    <row r="827" spans="1:9" x14ac:dyDescent="0.2">
      <c r="A827" s="1" t="s">
        <v>827</v>
      </c>
      <c r="B827" t="str">
        <f>HYPERLINK("https://www.suredividend.com/sure-analysis-research-database/","HilleVax Inc")</f>
        <v>HilleVax Inc</v>
      </c>
      <c r="C827">
        <v>8.7660148347940003E-3</v>
      </c>
      <c r="D827">
        <v>7.7033837293016008E-2</v>
      </c>
      <c r="E827">
        <v>0.22522522522522501</v>
      </c>
      <c r="F827">
        <v>-6.791277258566901E-2</v>
      </c>
      <c r="G827">
        <v>-8.3894672382118007E-2</v>
      </c>
      <c r="H827">
        <v>-0.21634363541120999</v>
      </c>
      <c r="I827">
        <v>-0.21634363541120999</v>
      </c>
    </row>
    <row r="828" spans="1:9" x14ac:dyDescent="0.2">
      <c r="A828" s="1" t="s">
        <v>828</v>
      </c>
      <c r="B828" t="str">
        <f>HYPERLINK("https://www.suredividend.com/sure-analysis-research-database/","Helix Energy Solutions Group Inc")</f>
        <v>Helix Energy Solutions Group Inc</v>
      </c>
      <c r="C828">
        <v>1.8808777429466E-2</v>
      </c>
      <c r="D828">
        <v>3.9445628997867001E-2</v>
      </c>
      <c r="E828">
        <v>2.4159663865546001E-2</v>
      </c>
      <c r="F828">
        <v>-5.1556420233462012E-2</v>
      </c>
      <c r="G828">
        <v>0.279527559055118</v>
      </c>
      <c r="H828">
        <v>1.407407407407407</v>
      </c>
      <c r="I828">
        <v>0.34482758620689602</v>
      </c>
    </row>
    <row r="829" spans="1:9" x14ac:dyDescent="0.2">
      <c r="A829" s="1" t="s">
        <v>829</v>
      </c>
      <c r="B829" t="str">
        <f>HYPERLINK("https://www.suredividend.com/sure-analysis-HMN/","Horace Mann Educators Corp.")</f>
        <v>Horace Mann Educators Corp.</v>
      </c>
      <c r="C829">
        <v>7.1722516166960001E-2</v>
      </c>
      <c r="D829">
        <v>0.13441900696332801</v>
      </c>
      <c r="E829">
        <v>0.30701616025466311</v>
      </c>
      <c r="F829">
        <v>0.114984709480122</v>
      </c>
      <c r="G829">
        <v>-2.5224199911350002E-3</v>
      </c>
      <c r="H829">
        <v>-3.6240120536068003E-2</v>
      </c>
      <c r="I829">
        <v>6.8324728523625006E-2</v>
      </c>
    </row>
    <row r="830" spans="1:9" x14ac:dyDescent="0.2">
      <c r="A830" s="1" t="s">
        <v>830</v>
      </c>
      <c r="B830" t="str">
        <f>HYPERLINK("https://www.suredividend.com/sure-analysis-research-database/","HomeStreet Inc")</f>
        <v>HomeStreet Inc</v>
      </c>
      <c r="C830">
        <v>-6.889632107023401E-2</v>
      </c>
      <c r="D830">
        <v>1.144838212634822</v>
      </c>
      <c r="E830">
        <v>0.48195464707760999</v>
      </c>
      <c r="F830">
        <v>0.35145631067961097</v>
      </c>
      <c r="G830">
        <v>-0.43837677978479112</v>
      </c>
      <c r="H830">
        <v>-0.69356688585146309</v>
      </c>
      <c r="I830">
        <v>-0.40969424536703197</v>
      </c>
    </row>
    <row r="831" spans="1:9" x14ac:dyDescent="0.2">
      <c r="A831" s="1" t="s">
        <v>831</v>
      </c>
      <c r="B831" t="str">
        <f>HYPERLINK("https://www.suredividend.com/sure-analysis-HNI/","HNI Corp.")</f>
        <v>HNI Corp.</v>
      </c>
      <c r="C831">
        <v>6.5254863334154006E-2</v>
      </c>
      <c r="D831">
        <v>9.8806197612395008E-2</v>
      </c>
      <c r="E831">
        <v>0.37911247130833903</v>
      </c>
      <c r="F831">
        <v>3.4185990915609997E-2</v>
      </c>
      <c r="G831">
        <v>0.44236059014753598</v>
      </c>
      <c r="H831">
        <v>5.3592956563035997E-2</v>
      </c>
      <c r="I831">
        <v>0.24319990344078399</v>
      </c>
    </row>
    <row r="832" spans="1:9" x14ac:dyDescent="0.2">
      <c r="A832" s="1" t="s">
        <v>832</v>
      </c>
      <c r="B832" t="str">
        <f>HYPERLINK("https://www.suredividend.com/sure-analysis-research-database/","Hallador Energy Co")</f>
        <v>Hallador Energy Co</v>
      </c>
      <c r="C832">
        <v>-0.174353205849268</v>
      </c>
      <c r="D832">
        <v>-0.42611415168099998</v>
      </c>
      <c r="E832">
        <v>-0.31529850746268601</v>
      </c>
      <c r="F832">
        <v>-0.16968325791855199</v>
      </c>
      <c r="G832">
        <v>-6.9708491761723002E-2</v>
      </c>
      <c r="H832">
        <v>1.044568245125348</v>
      </c>
      <c r="I832">
        <v>0.37324602432179599</v>
      </c>
    </row>
    <row r="833" spans="1:9" x14ac:dyDescent="0.2">
      <c r="A833" s="1" t="s">
        <v>833</v>
      </c>
      <c r="B833" t="str">
        <f>HYPERLINK("https://www.suredividend.com/sure-analysis-research-database/","Hooker Furnishings Corporation")</f>
        <v>Hooker Furnishings Corporation</v>
      </c>
      <c r="C833">
        <v>2.5891341256366E-2</v>
      </c>
      <c r="D833">
        <v>0.32685551163811999</v>
      </c>
      <c r="E833">
        <v>0.17207768591033601</v>
      </c>
      <c r="F833">
        <v>-7.323619631901801E-2</v>
      </c>
      <c r="G833">
        <v>0.22093522526936801</v>
      </c>
      <c r="H833">
        <v>0.28680189533088402</v>
      </c>
      <c r="I833">
        <v>-7.7509083692100009E-2</v>
      </c>
    </row>
    <row r="834" spans="1:9" x14ac:dyDescent="0.2">
      <c r="A834" s="1" t="s">
        <v>834</v>
      </c>
      <c r="B834" t="str">
        <f>HYPERLINK("https://www.suredividend.com/sure-analysis-HOMB/","Home Bancshares Inc")</f>
        <v>Home Bancshares Inc</v>
      </c>
      <c r="C834">
        <v>-3.9115019610733E-2</v>
      </c>
      <c r="D834">
        <v>5.8996051889452013E-2</v>
      </c>
      <c r="E834">
        <v>5.6907274061865007E-2</v>
      </c>
      <c r="F834">
        <v>-6.6428003182179007E-2</v>
      </c>
      <c r="G834">
        <v>-1.301541243508E-2</v>
      </c>
      <c r="H834">
        <v>6.2649696870910002E-2</v>
      </c>
      <c r="I834">
        <v>0.33316671116236002</v>
      </c>
    </row>
    <row r="835" spans="1:9" x14ac:dyDescent="0.2">
      <c r="A835" s="1" t="s">
        <v>835</v>
      </c>
      <c r="B835" t="str">
        <f>HYPERLINK("https://www.suredividend.com/sure-analysis-research-database/","HarborOne Bancorp Inc.")</f>
        <v>HarborOne Bancorp Inc.</v>
      </c>
      <c r="C835">
        <v>-0.10269799825935499</v>
      </c>
      <c r="D835">
        <v>-7.4614273020203001E-2</v>
      </c>
      <c r="E835">
        <v>4.6456157445469007E-2</v>
      </c>
      <c r="F835">
        <v>-0.13408642338218599</v>
      </c>
      <c r="G835">
        <v>-0.23062572292078601</v>
      </c>
      <c r="H835">
        <v>-0.26262337290802401</v>
      </c>
      <c r="I835">
        <v>0.11549905328644799</v>
      </c>
    </row>
    <row r="836" spans="1:9" x14ac:dyDescent="0.2">
      <c r="A836" s="1" t="s">
        <v>836</v>
      </c>
      <c r="B836" t="str">
        <f>HYPERLINK("https://www.suredividend.com/sure-analysis-research-database/","Hope Bancorp Inc")</f>
        <v>Hope Bancorp Inc</v>
      </c>
      <c r="C836">
        <v>-1.0250972074938001E-2</v>
      </c>
      <c r="D836">
        <v>0.14208798156343599</v>
      </c>
      <c r="E836">
        <v>0.19261854308866899</v>
      </c>
      <c r="F836">
        <v>-4.7942876572594002E-2</v>
      </c>
      <c r="G836">
        <v>-7.7954045888251E-2</v>
      </c>
      <c r="H836">
        <v>-0.25251109553842499</v>
      </c>
      <c r="I836">
        <v>-1.1944880639412001E-2</v>
      </c>
    </row>
    <row r="837" spans="1:9" x14ac:dyDescent="0.2">
      <c r="A837" s="1" t="s">
        <v>837</v>
      </c>
      <c r="B837" t="str">
        <f>HYPERLINK("https://www.suredividend.com/sure-analysis-research-database/","Anywhere Real Estate Inc")</f>
        <v>Anywhere Real Estate Inc</v>
      </c>
      <c r="C837">
        <v>-6.1349693251530014E-3</v>
      </c>
      <c r="D837">
        <v>0.23193916349809801</v>
      </c>
      <c r="E837">
        <v>1.5673981191222E-2</v>
      </c>
      <c r="F837">
        <v>-0.20098643649815001</v>
      </c>
      <c r="G837">
        <v>-0.20588235294117599</v>
      </c>
      <c r="H837">
        <v>-0.66019926586261102</v>
      </c>
      <c r="I837">
        <v>-0.63407403224440206</v>
      </c>
    </row>
    <row r="838" spans="1:9" x14ac:dyDescent="0.2">
      <c r="A838" s="1" t="s">
        <v>838</v>
      </c>
      <c r="B838" t="str">
        <f>HYPERLINK("https://www.suredividend.com/sure-analysis-research-database/","Hovnanian Enterprises, Inc.")</f>
        <v>Hovnanian Enterprises, Inc.</v>
      </c>
      <c r="C838">
        <v>4.3054911571834997E-2</v>
      </c>
      <c r="D838">
        <v>0.73043956043956004</v>
      </c>
      <c r="E838">
        <v>0.67254381306425903</v>
      </c>
      <c r="F838">
        <v>1.1887932142398E-2</v>
      </c>
      <c r="G838">
        <v>1.4896442687747029</v>
      </c>
      <c r="H838">
        <v>0.72683408268450511</v>
      </c>
      <c r="I838">
        <v>8.3205090263391543</v>
      </c>
    </row>
    <row r="839" spans="1:9" x14ac:dyDescent="0.2">
      <c r="A839" s="1" t="s">
        <v>839</v>
      </c>
      <c r="B839" t="str">
        <f>HYPERLINK("https://www.suredividend.com/sure-analysis-HP/","Helmerich &amp; Payne, Inc.")</f>
        <v>Helmerich &amp; Payne, Inc.</v>
      </c>
      <c r="C839">
        <v>0.170296320593182</v>
      </c>
      <c r="D839">
        <v>1.5980333504883999E-2</v>
      </c>
      <c r="E839">
        <v>-5.2743366280683997E-2</v>
      </c>
      <c r="F839">
        <v>7.8534147572535004E-2</v>
      </c>
      <c r="G839">
        <v>-5.9714988950623007E-2</v>
      </c>
      <c r="H839">
        <v>0.21271652868079199</v>
      </c>
      <c r="I839">
        <v>-0.14505488224444499</v>
      </c>
    </row>
    <row r="840" spans="1:9" x14ac:dyDescent="0.2">
      <c r="A840" s="1" t="s">
        <v>840</v>
      </c>
      <c r="B840" t="str">
        <f>HYPERLINK("https://www.suredividend.com/sure-analysis-research-database/","HighPeak Energy Inc")</f>
        <v>HighPeak Energy Inc</v>
      </c>
      <c r="C840">
        <v>0.19561933534743201</v>
      </c>
      <c r="D840">
        <v>-3.3577533577533E-2</v>
      </c>
      <c r="E840">
        <v>0.12275873808443</v>
      </c>
      <c r="F840">
        <v>0.111657303370786</v>
      </c>
      <c r="G840">
        <v>-0.40953986631654299</v>
      </c>
      <c r="H840">
        <v>-0.17860534140026199</v>
      </c>
      <c r="I840">
        <v>1.3716066398993221</v>
      </c>
    </row>
    <row r="841" spans="1:9" x14ac:dyDescent="0.2">
      <c r="A841" s="1" t="s">
        <v>841</v>
      </c>
      <c r="B841" t="str">
        <f>HYPERLINK("https://www.suredividend.com/sure-analysis-research-database/","Hudson Pacific Properties Inc")</f>
        <v>Hudson Pacific Properties Inc</v>
      </c>
      <c r="C841">
        <v>-0.22427745664739801</v>
      </c>
      <c r="D841">
        <v>0.22893772893772901</v>
      </c>
      <c r="E841">
        <v>0.14700854700854701</v>
      </c>
      <c r="F841">
        <v>-0.27926960257787298</v>
      </c>
      <c r="G841">
        <v>-0.29691101890271998</v>
      </c>
      <c r="H841">
        <v>-0.70009564758780307</v>
      </c>
      <c r="I841">
        <v>-0.74648632310714802</v>
      </c>
    </row>
    <row r="842" spans="1:9" x14ac:dyDescent="0.2">
      <c r="A842" s="1" t="s">
        <v>842</v>
      </c>
      <c r="B842" t="str">
        <f>HYPERLINK("https://www.suredividend.com/sure-analysis-research-database/","HireQuest Inc")</f>
        <v>HireQuest Inc</v>
      </c>
      <c r="C842">
        <v>-2.3616236162360998E-2</v>
      </c>
      <c r="D842">
        <v>-0.11202094100275101</v>
      </c>
      <c r="E842">
        <v>-0.30129759018964702</v>
      </c>
      <c r="F842">
        <v>-0.13811074918566699</v>
      </c>
      <c r="G842">
        <v>-0.38772676786375398</v>
      </c>
      <c r="H842">
        <v>-0.28267800212539801</v>
      </c>
      <c r="I842">
        <v>2.29925187032419</v>
      </c>
    </row>
    <row r="843" spans="1:9" x14ac:dyDescent="0.2">
      <c r="A843" s="1" t="s">
        <v>843</v>
      </c>
      <c r="B843" t="str">
        <f>HYPERLINK("https://www.suredividend.com/sure-analysis-research-database/","Healthequity Inc")</f>
        <v>Healthequity Inc</v>
      </c>
      <c r="C843">
        <v>0.111673045379989</v>
      </c>
      <c r="D843">
        <v>0.21860952951752999</v>
      </c>
      <c r="E843">
        <v>0.21207153502235401</v>
      </c>
      <c r="F843">
        <v>0.22669683257918499</v>
      </c>
      <c r="G843">
        <v>0.23096715604661699</v>
      </c>
      <c r="H843">
        <v>0.55834451044261302</v>
      </c>
      <c r="I843">
        <v>1.6497937757779999E-2</v>
      </c>
    </row>
    <row r="844" spans="1:9" x14ac:dyDescent="0.2">
      <c r="A844" s="1" t="s">
        <v>844</v>
      </c>
      <c r="B844" t="str">
        <f>HYPERLINK("https://www.suredividend.com/sure-analysis-research-database/","Herc Holdings Inc")</f>
        <v>Herc Holdings Inc</v>
      </c>
      <c r="C844">
        <v>3.2510947420825997E-2</v>
      </c>
      <c r="D844">
        <v>0.19916282554522199</v>
      </c>
      <c r="E844">
        <v>0.15978305558924799</v>
      </c>
      <c r="F844">
        <v>-6.5315909460449996E-3</v>
      </c>
      <c r="G844">
        <v>9.652898818037001E-3</v>
      </c>
      <c r="H844">
        <v>1.9423390591812001E-2</v>
      </c>
      <c r="I844">
        <v>2.763761051654904</v>
      </c>
    </row>
    <row r="845" spans="1:9" x14ac:dyDescent="0.2">
      <c r="A845" s="1" t="s">
        <v>845</v>
      </c>
      <c r="B845" t="str">
        <f>HYPERLINK("https://www.suredividend.com/sure-analysis-research-database/","Harmony Biosciences Holdings Inc")</f>
        <v>Harmony Biosciences Holdings Inc</v>
      </c>
      <c r="C845">
        <v>4.2956411876184E-2</v>
      </c>
      <c r="D845">
        <v>0.18905293482175001</v>
      </c>
      <c r="E845">
        <v>1.8193031144002E-2</v>
      </c>
      <c r="F845">
        <v>2.2291021671825999E-2</v>
      </c>
      <c r="G845">
        <v>-0.32981530343007898</v>
      </c>
      <c r="H845">
        <v>-0.140551795939614</v>
      </c>
      <c r="I845">
        <v>23.459259259259259</v>
      </c>
    </row>
    <row r="846" spans="1:9" x14ac:dyDescent="0.2">
      <c r="A846" s="1" t="s">
        <v>846</v>
      </c>
      <c r="B846" t="str">
        <f>HYPERLINK("https://www.suredividend.com/sure-analysis-research-database/","Harrow Inc")</f>
        <v>Harrow Inc</v>
      </c>
      <c r="C846">
        <v>0.21330517423442399</v>
      </c>
      <c r="D846">
        <v>0.21458773784355101</v>
      </c>
      <c r="E846">
        <v>-0.29681762545899598</v>
      </c>
      <c r="F846">
        <v>2.5892857142856999E-2</v>
      </c>
      <c r="G846">
        <v>-0.35738255033556998</v>
      </c>
      <c r="H846">
        <v>0.45997458703938998</v>
      </c>
      <c r="I846">
        <v>0.72005988023952106</v>
      </c>
    </row>
    <row r="847" spans="1:9" x14ac:dyDescent="0.2">
      <c r="A847" s="1" t="s">
        <v>847</v>
      </c>
      <c r="B847" t="str">
        <f>HYPERLINK("https://www.suredividend.com/sure-analysis-research-database/","HireRight Holdings Corp")</f>
        <v>HireRight Holdings Corp</v>
      </c>
      <c r="C847">
        <v>9.210526315789401E-2</v>
      </c>
      <c r="D847">
        <v>6.490566037735801E-2</v>
      </c>
      <c r="E847">
        <v>0.36460348162475797</v>
      </c>
      <c r="F847">
        <v>4.9070631970260001E-2</v>
      </c>
      <c r="G847">
        <v>0.22695652173913</v>
      </c>
      <c r="H847">
        <v>0.162273476112026</v>
      </c>
      <c r="I847">
        <v>-0.182028985507246</v>
      </c>
    </row>
    <row r="848" spans="1:9" x14ac:dyDescent="0.2">
      <c r="A848" s="1" t="s">
        <v>848</v>
      </c>
      <c r="B848" t="str">
        <f>HYPERLINK("https://www.suredividend.com/sure-analysis-research-database/","Heron Therapeutics Inc")</f>
        <v>Heron Therapeutics Inc</v>
      </c>
      <c r="C848">
        <v>0.37320574162679399</v>
      </c>
      <c r="D848">
        <v>1.207692307692307</v>
      </c>
      <c r="E848">
        <v>0.73939393939393905</v>
      </c>
      <c r="F848">
        <v>0.68823529411764706</v>
      </c>
      <c r="G848">
        <v>6.2962962962961999E-2</v>
      </c>
      <c r="H848">
        <v>-0.61163734776725309</v>
      </c>
      <c r="I848">
        <v>-0.89872971065631602</v>
      </c>
    </row>
    <row r="849" spans="1:9" x14ac:dyDescent="0.2">
      <c r="A849" s="1" t="s">
        <v>849</v>
      </c>
      <c r="B849" t="str">
        <f>HYPERLINK("https://www.suredividend.com/sure-analysis-research-database/","Himalaya Shipping Ltd")</f>
        <v>Himalaya Shipping Ltd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1" t="s">
        <v>850</v>
      </c>
      <c r="B850" t="str">
        <f>HYPERLINK("https://www.suredividend.com/sure-analysis-research-database/","Heidrick &amp; Struggles International, Inc.")</f>
        <v>Heidrick &amp; Struggles International, Inc.</v>
      </c>
      <c r="C850">
        <v>4.4075144508670012E-2</v>
      </c>
      <c r="D850">
        <v>4.0316774658027001E-2</v>
      </c>
      <c r="E850">
        <v>7.3347916999379009E-2</v>
      </c>
      <c r="F850">
        <v>-2.1334236369793001E-2</v>
      </c>
      <c r="G850">
        <v>-4.4062436946159002E-2</v>
      </c>
      <c r="H850">
        <v>-0.296309643236293</v>
      </c>
      <c r="I850">
        <v>-4.9804700343254002E-2</v>
      </c>
    </row>
    <row r="851" spans="1:9" x14ac:dyDescent="0.2">
      <c r="A851" s="1" t="s">
        <v>851</v>
      </c>
      <c r="B851" t="str">
        <f>HYPERLINK("https://www.suredividend.com/sure-analysis-research-database/","Healthstream Inc")</f>
        <v>Healthstream Inc</v>
      </c>
      <c r="C851">
        <v>-1.8395879323029999E-3</v>
      </c>
      <c r="D851">
        <v>6.6405666533021004E-2</v>
      </c>
      <c r="E851">
        <v>0.26484903865878401</v>
      </c>
      <c r="F851">
        <v>3.699593044764E-3</v>
      </c>
      <c r="G851">
        <v>0.115015514867558</v>
      </c>
      <c r="H851">
        <v>0.14873419061450699</v>
      </c>
      <c r="I851">
        <v>-2.0719029742997001E-2</v>
      </c>
    </row>
    <row r="852" spans="1:9" x14ac:dyDescent="0.2">
      <c r="A852" s="1" t="s">
        <v>852</v>
      </c>
      <c r="B852" t="str">
        <f>HYPERLINK("https://www.suredividend.com/sure-analysis-research-database/","HomeTrust Bancshares Inc")</f>
        <v>HomeTrust Bancshares Inc</v>
      </c>
      <c r="C852">
        <v>-1.7134105484828001E-2</v>
      </c>
      <c r="D852">
        <v>0.14805787249267599</v>
      </c>
      <c r="E852">
        <v>0.10691878139755499</v>
      </c>
      <c r="F852">
        <v>-3.8310243288401012E-2</v>
      </c>
      <c r="G852">
        <v>-5.9996191647990013E-2</v>
      </c>
      <c r="H852">
        <v>-0.12731599524052301</v>
      </c>
      <c r="I852">
        <v>1.009978903529E-3</v>
      </c>
    </row>
    <row r="853" spans="1:9" x14ac:dyDescent="0.2">
      <c r="A853" s="1" t="s">
        <v>853</v>
      </c>
      <c r="B853" t="str">
        <f>HYPERLINK("https://www.suredividend.com/sure-analysis-research-database/","Heritage Commerce Corp.")</f>
        <v>Heritage Commerce Corp.</v>
      </c>
      <c r="C853">
        <v>-8.034583402169701E-2</v>
      </c>
      <c r="D853">
        <v>-1.7427424953813001E-2</v>
      </c>
      <c r="E853">
        <v>-1.7924350771545999E-2</v>
      </c>
      <c r="F853">
        <v>-0.131330364945278</v>
      </c>
      <c r="G853">
        <v>-0.25720334836718101</v>
      </c>
      <c r="H853">
        <v>-0.214893516994969</v>
      </c>
      <c r="I853">
        <v>-0.214028878555695</v>
      </c>
    </row>
    <row r="854" spans="1:9" x14ac:dyDescent="0.2">
      <c r="A854" s="1" t="s">
        <v>854</v>
      </c>
      <c r="B854" t="str">
        <f>HYPERLINK("https://www.suredividend.com/sure-analysis-research-database/","Hilltop Holdings Inc")</f>
        <v>Hilltop Holdings Inc</v>
      </c>
      <c r="C854">
        <v>-6.4140056073130003E-2</v>
      </c>
      <c r="D854">
        <v>1.8049782995515001E-2</v>
      </c>
      <c r="E854">
        <v>3.3894123373807997E-2</v>
      </c>
      <c r="F854">
        <v>-0.11437449307150099</v>
      </c>
      <c r="G854">
        <v>-9.0333065410362012E-2</v>
      </c>
      <c r="H854">
        <v>2.2423417156007E-2</v>
      </c>
      <c r="I854">
        <v>0.74152823173950611</v>
      </c>
    </row>
    <row r="855" spans="1:9" x14ac:dyDescent="0.2">
      <c r="A855" s="1" t="s">
        <v>855</v>
      </c>
      <c r="B855" t="str">
        <f>HYPERLINK("https://www.suredividend.com/sure-analysis-research-database/","Heartland Express, Inc.")</f>
        <v>Heartland Express, Inc.</v>
      </c>
      <c r="C855">
        <v>-5.5303030303030007E-2</v>
      </c>
      <c r="D855">
        <v>-4.0902028949837001E-2</v>
      </c>
      <c r="E855">
        <v>-0.19048051830020299</v>
      </c>
      <c r="F855">
        <v>-0.125525946704067</v>
      </c>
      <c r="G855">
        <v>-0.25208869376420701</v>
      </c>
      <c r="H855">
        <v>-0.12228838492616501</v>
      </c>
      <c r="I855">
        <v>-0.39358277327679198</v>
      </c>
    </row>
    <row r="856" spans="1:9" x14ac:dyDescent="0.2">
      <c r="A856" s="1" t="s">
        <v>856</v>
      </c>
      <c r="B856" t="str">
        <f>HYPERLINK("https://www.suredividend.com/sure-analysis-research-database/","Heartland Financial USA, Inc.")</f>
        <v>Heartland Financial USA, Inc.</v>
      </c>
      <c r="C856">
        <v>-8.1459267629989007E-2</v>
      </c>
      <c r="D856">
        <v>0.101775575174767</v>
      </c>
      <c r="E856">
        <v>0.109059133301838</v>
      </c>
      <c r="F856">
        <v>-9.0985402151632006E-2</v>
      </c>
      <c r="G856">
        <v>-0.28189594871235402</v>
      </c>
      <c r="H856">
        <v>-0.26488621831368298</v>
      </c>
      <c r="I856">
        <v>-0.20025919511340901</v>
      </c>
    </row>
    <row r="857" spans="1:9" x14ac:dyDescent="0.2">
      <c r="A857" s="1" t="s">
        <v>857</v>
      </c>
      <c r="B857" t="str">
        <f>HYPERLINK("https://www.suredividend.com/sure-analysis-research-database/","Hub Group, Inc.")</f>
        <v>Hub Group, Inc.</v>
      </c>
      <c r="C857">
        <v>-5.9119772279395001E-2</v>
      </c>
      <c r="D857">
        <v>0.14495070610178501</v>
      </c>
      <c r="E857">
        <v>6.2956091527520006E-2</v>
      </c>
      <c r="F857">
        <v>-6.5259952142701E-2</v>
      </c>
      <c r="G857">
        <v>-0.11209835726831199</v>
      </c>
      <c r="H857">
        <v>7.9377040944485999E-2</v>
      </c>
      <c r="I857">
        <v>0.85735897990058307</v>
      </c>
    </row>
    <row r="858" spans="1:9" x14ac:dyDescent="0.2">
      <c r="A858" s="1" t="s">
        <v>858</v>
      </c>
      <c r="B858" t="str">
        <f>HYPERLINK("https://www.suredividend.com/sure-analysis-research-database/","Humacyte Inc")</f>
        <v>Humacyte Inc</v>
      </c>
      <c r="C858">
        <v>0.81273408239700307</v>
      </c>
      <c r="D858">
        <v>0.88326848249027212</v>
      </c>
      <c r="E858">
        <v>0.35955056179775202</v>
      </c>
      <c r="F858">
        <v>0.70422535211267601</v>
      </c>
      <c r="G858">
        <v>0.54632587859424908</v>
      </c>
      <c r="H858">
        <v>-9.8696461824953008E-2</v>
      </c>
      <c r="I858">
        <v>-0.6032786885245901</v>
      </c>
    </row>
    <row r="859" spans="1:9" x14ac:dyDescent="0.2">
      <c r="A859" s="1" t="s">
        <v>859</v>
      </c>
      <c r="B859" t="str">
        <f>HYPERLINK("https://www.suredividend.com/sure-analysis-research-database/","Huron Consulting Group Inc")</f>
        <v>Huron Consulting Group Inc</v>
      </c>
      <c r="C859">
        <v>-3.0481996570770001E-3</v>
      </c>
      <c r="D859">
        <v>-5.4167062624720002E-3</v>
      </c>
      <c r="E859">
        <v>7.7414041589457999E-2</v>
      </c>
      <c r="F859">
        <v>1.8093385214007E-2</v>
      </c>
      <c r="G859">
        <v>0.49237131042349902</v>
      </c>
      <c r="H859">
        <v>1.241593488969801</v>
      </c>
      <c r="I859">
        <v>0.87394807520143203</v>
      </c>
    </row>
    <row r="860" spans="1:9" x14ac:dyDescent="0.2">
      <c r="A860" s="1" t="s">
        <v>860</v>
      </c>
      <c r="B860" t="str">
        <f>HYPERLINK("https://www.suredividend.com/sure-analysis-research-database/","Haverty Furniture Cos., Inc.")</f>
        <v>Haverty Furniture Cos., Inc.</v>
      </c>
      <c r="C860">
        <v>3.4107615407233012E-2</v>
      </c>
      <c r="D860">
        <v>0.14411190631099499</v>
      </c>
      <c r="E860">
        <v>0.11264370725164</v>
      </c>
      <c r="F860">
        <v>-9.2957746478870007E-3</v>
      </c>
      <c r="G860">
        <v>1.1882498489512E-2</v>
      </c>
      <c r="H860">
        <v>0.42166492849231502</v>
      </c>
      <c r="I860">
        <v>0.88079895184363211</v>
      </c>
    </row>
    <row r="861" spans="1:9" x14ac:dyDescent="0.2">
      <c r="A861" s="1" t="s">
        <v>861</v>
      </c>
      <c r="B861" t="str">
        <f>HYPERLINK("https://www.suredividend.com/sure-analysis-research-database/","Hancock Whitney Corp.")</f>
        <v>Hancock Whitney Corp.</v>
      </c>
      <c r="C861">
        <v>-4.4207317073170001E-2</v>
      </c>
      <c r="D861">
        <v>8.2268695581414003E-2</v>
      </c>
      <c r="E861">
        <v>0.102198872939498</v>
      </c>
      <c r="F861">
        <v>-9.6727721753447002E-2</v>
      </c>
      <c r="G861">
        <v>-9.2210258086133007E-2</v>
      </c>
      <c r="H861">
        <v>-0.14092609302425699</v>
      </c>
      <c r="I861">
        <v>0.189459905526151</v>
      </c>
    </row>
    <row r="862" spans="1:9" x14ac:dyDescent="0.2">
      <c r="A862" s="1" t="s">
        <v>862</v>
      </c>
      <c r="B862" t="str">
        <f>HYPERLINK("https://www.suredividend.com/sure-analysis-HWKN/","Hawkins Inc")</f>
        <v>Hawkins Inc</v>
      </c>
      <c r="C862">
        <v>7.0259651888503E-2</v>
      </c>
      <c r="D862">
        <v>0.11662212171052599</v>
      </c>
      <c r="E862">
        <v>0.22917849079088501</v>
      </c>
      <c r="F862">
        <v>-8.0106847180560006E-3</v>
      </c>
      <c r="G862">
        <v>0.71279620386019704</v>
      </c>
      <c r="H862">
        <v>0.639023470193679</v>
      </c>
      <c r="I862">
        <v>2.51125297991838</v>
      </c>
    </row>
    <row r="863" spans="1:9" x14ac:dyDescent="0.2">
      <c r="A863" s="1" t="s">
        <v>863</v>
      </c>
      <c r="B863" t="str">
        <f>HYPERLINK("https://www.suredividend.com/sure-analysis-research-database/","Hyster-Yale Materials Handling Inc")</f>
        <v>Hyster-Yale Materials Handling Inc</v>
      </c>
      <c r="C863">
        <v>6.0431878204131997E-2</v>
      </c>
      <c r="D863">
        <v>0.47417706538124199</v>
      </c>
      <c r="E863">
        <v>0.52328329364822501</v>
      </c>
      <c r="F863">
        <v>9.7604116417430012E-2</v>
      </c>
      <c r="G863">
        <v>1.3108511149704281</v>
      </c>
      <c r="H863">
        <v>0.77725241879211404</v>
      </c>
      <c r="I863">
        <v>3.2423169475606001E-2</v>
      </c>
    </row>
    <row r="864" spans="1:9" x14ac:dyDescent="0.2">
      <c r="A864" s="1" t="s">
        <v>864</v>
      </c>
      <c r="B864" t="str">
        <f>HYPERLINK("https://www.suredividend.com/sure-analysis-research-database/","Hyliion Holdings Corporation")</f>
        <v>Hyliion Holdings Corporation</v>
      </c>
      <c r="C864">
        <v>0.48421052631578898</v>
      </c>
      <c r="D864">
        <v>1.332506203473945</v>
      </c>
      <c r="E864">
        <v>0.146341463414634</v>
      </c>
      <c r="F864">
        <v>0.73282536561386202</v>
      </c>
      <c r="G864">
        <v>-0.56748466257668706</v>
      </c>
      <c r="H864">
        <v>-0.64393939393939403</v>
      </c>
      <c r="I864">
        <v>-0.85463917525773103</v>
      </c>
    </row>
    <row r="865" spans="1:9" x14ac:dyDescent="0.2">
      <c r="A865" s="1" t="s">
        <v>865</v>
      </c>
      <c r="B865" t="str">
        <f>HYPERLINK("https://www.suredividend.com/sure-analysis-research-database/","Marinemax, Inc.")</f>
        <v>Marinemax, Inc.</v>
      </c>
      <c r="C865">
        <v>-9.4121140142517004E-2</v>
      </c>
      <c r="D865">
        <v>-3.9177277179229999E-3</v>
      </c>
      <c r="E865">
        <v>-8.3508561129468001E-2</v>
      </c>
      <c r="F865">
        <v>-0.21568123393316099</v>
      </c>
      <c r="G865">
        <v>-9.0611028315946002E-2</v>
      </c>
      <c r="H865">
        <v>-0.34598070739549802</v>
      </c>
      <c r="I865">
        <v>0.58740894901144602</v>
      </c>
    </row>
    <row r="866" spans="1:9" x14ac:dyDescent="0.2">
      <c r="A866" s="1" t="s">
        <v>866</v>
      </c>
      <c r="B866" t="str">
        <f>HYPERLINK("https://www.suredividend.com/sure-analysis-research-database/","Integral Ad Science Holding Corp")</f>
        <v>Integral Ad Science Holding Corp</v>
      </c>
      <c r="C866">
        <v>5.3289473684210012E-2</v>
      </c>
      <c r="D866">
        <v>0.114126652748782</v>
      </c>
      <c r="E866">
        <v>0.14112615823235899</v>
      </c>
      <c r="F866">
        <v>0.112578179291174</v>
      </c>
      <c r="G866">
        <v>0.47015610651974299</v>
      </c>
      <c r="H866">
        <v>-0.12894450489662601</v>
      </c>
      <c r="I866">
        <v>-0.22206025267249699</v>
      </c>
    </row>
    <row r="867" spans="1:9" x14ac:dyDescent="0.2">
      <c r="A867" s="1" t="s">
        <v>867</v>
      </c>
      <c r="B867" t="str">
        <f>HYPERLINK("https://www.suredividend.com/sure-analysis-research-database/","i-80 Gold Corp")</f>
        <v>i-80 Gold Corp</v>
      </c>
      <c r="C867">
        <v>-0.121621621621621</v>
      </c>
      <c r="D867">
        <v>-4.4117647058822998E-2</v>
      </c>
      <c r="E867">
        <v>-0.29347826086956502</v>
      </c>
      <c r="F867">
        <v>-0.26136363636363602</v>
      </c>
      <c r="G867">
        <v>-0.45833333333333298</v>
      </c>
      <c r="H867">
        <v>-0.52029520295202902</v>
      </c>
      <c r="I867">
        <v>-0.52029520295202902</v>
      </c>
    </row>
    <row r="868" spans="1:9" x14ac:dyDescent="0.2">
      <c r="A868" s="1" t="s">
        <v>868</v>
      </c>
      <c r="B868" t="str">
        <f>HYPERLINK("https://www.suredividend.com/sure-analysis-research-database/","Independent Bank Corporation (Ionia, MI)")</f>
        <v>Independent Bank Corporation (Ionia, MI)</v>
      </c>
      <c r="C868">
        <v>-2.6157450389339001E-2</v>
      </c>
      <c r="D868">
        <v>0.13439209929267301</v>
      </c>
      <c r="E868">
        <v>0.32151741293532299</v>
      </c>
      <c r="F868">
        <v>-3.4764153529278002E-2</v>
      </c>
      <c r="G868">
        <v>0.183735995658834</v>
      </c>
      <c r="H868">
        <v>0.156945663448495</v>
      </c>
      <c r="I868">
        <v>0.36640040798000001</v>
      </c>
    </row>
    <row r="869" spans="1:9" x14ac:dyDescent="0.2">
      <c r="A869" s="1" t="s">
        <v>869</v>
      </c>
      <c r="B869" t="str">
        <f>HYPERLINK("https://www.suredividend.com/sure-analysis-research-database/","IBEX Ltd")</f>
        <v>IBEX Ltd</v>
      </c>
      <c r="C869">
        <v>-0.17680500284252401</v>
      </c>
      <c r="D869">
        <v>-0.20176405733186301</v>
      </c>
      <c r="E869">
        <v>-0.237493417588204</v>
      </c>
      <c r="F869">
        <v>-0.238295633876906</v>
      </c>
      <c r="G869">
        <v>-0.51147098515519507</v>
      </c>
      <c r="H869">
        <v>-0.109471094710947</v>
      </c>
      <c r="I869">
        <v>-5.9740259740258997E-2</v>
      </c>
    </row>
    <row r="870" spans="1:9" x14ac:dyDescent="0.2">
      <c r="A870" s="1" t="s">
        <v>870</v>
      </c>
      <c r="B870" t="str">
        <f>HYPERLINK("https://www.suredividend.com/sure-analysis-IBOC/","International Bancshares Corp.")</f>
        <v>International Bancshares Corp.</v>
      </c>
      <c r="C870">
        <v>-5.5004134043940001E-3</v>
      </c>
      <c r="D870">
        <v>0.13663335588558201</v>
      </c>
      <c r="E870">
        <v>0.16406659987596001</v>
      </c>
      <c r="F870">
        <v>-3.2228820089750997E-2</v>
      </c>
      <c r="G870">
        <v>0.16750933620121899</v>
      </c>
      <c r="H870">
        <v>0.30690614710090702</v>
      </c>
      <c r="I870">
        <v>0.53739524919664805</v>
      </c>
    </row>
    <row r="871" spans="1:9" x14ac:dyDescent="0.2">
      <c r="A871" s="1" t="s">
        <v>871</v>
      </c>
      <c r="B871" t="str">
        <f>HYPERLINK("https://www.suredividend.com/sure-analysis-research-database/","Installed Building Products Inc")</f>
        <v>Installed Building Products Inc</v>
      </c>
      <c r="C871">
        <v>7.4611290827507004E-2</v>
      </c>
      <c r="D871">
        <v>0.40357189830441398</v>
      </c>
      <c r="E871">
        <v>0.43351114179761002</v>
      </c>
      <c r="F871">
        <v>0.126572585056339</v>
      </c>
      <c r="G871">
        <v>0.89575728121381404</v>
      </c>
      <c r="H871">
        <v>0.99148330503459603</v>
      </c>
      <c r="I871">
        <v>3.8233966117254718</v>
      </c>
    </row>
    <row r="872" spans="1:9" x14ac:dyDescent="0.2">
      <c r="A872" s="1" t="s">
        <v>872</v>
      </c>
      <c r="B872" t="str">
        <f>HYPERLINK("https://www.suredividend.com/sure-analysis-research-database/","ImmunityBio Inc")</f>
        <v>ImmunityBio Inc</v>
      </c>
      <c r="C872">
        <v>0.31388888888888811</v>
      </c>
      <c r="D872">
        <v>0.16790123456790099</v>
      </c>
      <c r="E872">
        <v>1.6132596685082869</v>
      </c>
      <c r="F872">
        <v>-5.7768924302788002E-2</v>
      </c>
      <c r="G872">
        <v>0.53571428571428503</v>
      </c>
      <c r="H872">
        <v>-0.361673414304993</v>
      </c>
      <c r="I872">
        <v>3.042735042735043</v>
      </c>
    </row>
    <row r="873" spans="1:9" x14ac:dyDescent="0.2">
      <c r="A873" s="1" t="s">
        <v>873</v>
      </c>
      <c r="B873" t="str">
        <f>HYPERLINK("https://www.suredividend.com/sure-analysis-research-database/","Independent Bank Group Inc")</f>
        <v>Independent Bank Group Inc</v>
      </c>
      <c r="C873">
        <v>-0.10586744604424</v>
      </c>
      <c r="D873">
        <v>0.16847613840506101</v>
      </c>
      <c r="E873">
        <v>9.7949417998737007E-2</v>
      </c>
      <c r="F873">
        <v>-0.104811637448713</v>
      </c>
      <c r="G873">
        <v>-0.206374468175403</v>
      </c>
      <c r="H873">
        <v>-0.34820684266631002</v>
      </c>
      <c r="I873">
        <v>-8.538449310981501E-2</v>
      </c>
    </row>
    <row r="874" spans="1:9" x14ac:dyDescent="0.2">
      <c r="A874" s="1" t="s">
        <v>874</v>
      </c>
      <c r="B874" t="str">
        <f>HYPERLINK("https://www.suredividend.com/sure-analysis-research-database/","ICF International, Inc")</f>
        <v>ICF International, Inc</v>
      </c>
      <c r="C874">
        <v>0.158196846777896</v>
      </c>
      <c r="D874">
        <v>0.16291847736293399</v>
      </c>
      <c r="E874">
        <v>0.21194211060363199</v>
      </c>
      <c r="F874">
        <v>0.128570363188903</v>
      </c>
      <c r="G874">
        <v>0.44948219779546111</v>
      </c>
      <c r="H874">
        <v>0.70286075655944003</v>
      </c>
      <c r="I874">
        <v>1.1192511129814451</v>
      </c>
    </row>
    <row r="875" spans="1:9" x14ac:dyDescent="0.2">
      <c r="A875" s="1" t="s">
        <v>875</v>
      </c>
      <c r="B875" t="str">
        <f>HYPERLINK("https://www.suredividend.com/sure-analysis-research-database/","Ichor Holdings Ltd")</f>
        <v>Ichor Holdings Ltd</v>
      </c>
      <c r="C875">
        <v>0.14745903915579001</v>
      </c>
      <c r="D875">
        <v>0.60092987214258009</v>
      </c>
      <c r="E875">
        <v>0.222485207100591</v>
      </c>
      <c r="F875">
        <v>0.228664882545346</v>
      </c>
      <c r="G875">
        <v>0.199419448476052</v>
      </c>
      <c r="H875">
        <v>8.1392305679141005E-2</v>
      </c>
      <c r="I875">
        <v>0.90327038231229806</v>
      </c>
    </row>
    <row r="876" spans="1:9" x14ac:dyDescent="0.2">
      <c r="A876" s="1" t="s">
        <v>876</v>
      </c>
      <c r="B876" t="str">
        <f>HYPERLINK("https://www.suredividend.com/sure-analysis-research-database/","Interdigital Inc")</f>
        <v>Interdigital Inc</v>
      </c>
      <c r="C876">
        <v>4.0781807930840012E-2</v>
      </c>
      <c r="D876">
        <v>0.127546293939795</v>
      </c>
      <c r="E876">
        <v>0.38422315536892598</v>
      </c>
      <c r="F876">
        <v>2.8233723578170999E-2</v>
      </c>
      <c r="G876">
        <v>0.53560975880278905</v>
      </c>
      <c r="H876">
        <v>0.77857996223167103</v>
      </c>
      <c r="I876">
        <v>0.72367642939400501</v>
      </c>
    </row>
    <row r="877" spans="1:9" x14ac:dyDescent="0.2">
      <c r="A877" s="1" t="s">
        <v>877</v>
      </c>
      <c r="B877" t="str">
        <f>HYPERLINK("https://www.suredividend.com/sure-analysis-research-database/","IDT Corp.")</f>
        <v>IDT Corp.</v>
      </c>
      <c r="C877">
        <v>7.231467473524901E-2</v>
      </c>
      <c r="D877">
        <v>0.23355377654020101</v>
      </c>
      <c r="E877">
        <v>0.49598986914309812</v>
      </c>
      <c r="F877">
        <v>3.9601056028159998E-2</v>
      </c>
      <c r="G877">
        <v>0.11622047244094399</v>
      </c>
      <c r="H877">
        <v>-6.6877303844128003E-2</v>
      </c>
      <c r="I877">
        <v>4.6164817749603806</v>
      </c>
    </row>
    <row r="878" spans="1:9" x14ac:dyDescent="0.2">
      <c r="A878" s="1" t="s">
        <v>878</v>
      </c>
      <c r="B878" t="str">
        <f>HYPERLINK("https://www.suredividend.com/sure-analysis-research-database/","Ideaya Biosciences Inc")</f>
        <v>Ideaya Biosciences Inc</v>
      </c>
      <c r="C878">
        <v>7.2629783085547003E-2</v>
      </c>
      <c r="D878">
        <v>0.42796885139519703</v>
      </c>
      <c r="E878">
        <v>0.67274800456100303</v>
      </c>
      <c r="F878">
        <v>0.23693086003372599</v>
      </c>
      <c r="G878">
        <v>1.4878462408140181</v>
      </c>
      <c r="H878">
        <v>2.231277533039647</v>
      </c>
      <c r="I878">
        <v>2.9329758713136731</v>
      </c>
    </row>
    <row r="879" spans="1:9" x14ac:dyDescent="0.2">
      <c r="A879" s="1" t="s">
        <v>879</v>
      </c>
      <c r="B879" t="str">
        <f>HYPERLINK("https://www.suredividend.com/sure-analysis-research-database/","Ivanhoe Electric Inc")</f>
        <v>Ivanhoe Electric Inc</v>
      </c>
      <c r="C879">
        <v>-9.9879663056558002E-2</v>
      </c>
      <c r="D879">
        <v>-0.28007699711260797</v>
      </c>
      <c r="E879">
        <v>-0.48591065292096203</v>
      </c>
      <c r="F879">
        <v>-0.25793650793650702</v>
      </c>
      <c r="G879">
        <v>-0.508864084044648</v>
      </c>
      <c r="H879">
        <v>-0.30740740740740702</v>
      </c>
      <c r="I879">
        <v>-0.30740740740740702</v>
      </c>
    </row>
    <row r="880" spans="1:9" x14ac:dyDescent="0.2">
      <c r="A880" s="1" t="s">
        <v>880</v>
      </c>
      <c r="B880" t="str">
        <f>HYPERLINK("https://www.suredividend.com/sure-analysis-research-database/","IES Holdings Inc")</f>
        <v>IES Holdings Inc</v>
      </c>
      <c r="C880">
        <v>0.16794614385260401</v>
      </c>
      <c r="D880">
        <v>0.46579707996739012</v>
      </c>
      <c r="E880">
        <v>0.39694872157084299</v>
      </c>
      <c r="F880">
        <v>0.24829588487755599</v>
      </c>
      <c r="G880">
        <v>1.3246356370474841</v>
      </c>
      <c r="H880">
        <v>1.280147567442933</v>
      </c>
      <c r="I880">
        <v>4.2882352941176469</v>
      </c>
    </row>
    <row r="881" spans="1:9" x14ac:dyDescent="0.2">
      <c r="A881" s="1" t="s">
        <v>881</v>
      </c>
      <c r="B881" t="str">
        <f>HYPERLINK("https://www.suredividend.com/sure-analysis-research-database/","IGM Biosciences Inc")</f>
        <v>IGM Biosciences Inc</v>
      </c>
      <c r="C881">
        <v>0.528517110266159</v>
      </c>
      <c r="D881">
        <v>1.6889632107023409</v>
      </c>
      <c r="E881">
        <v>1.0775193798449609</v>
      </c>
      <c r="F881">
        <v>0.9350180505415161</v>
      </c>
      <c r="G881">
        <v>-0.300869565217391</v>
      </c>
      <c r="H881">
        <v>-1.0461538461538E-2</v>
      </c>
      <c r="I881">
        <v>-0.33827160493827102</v>
      </c>
    </row>
    <row r="882" spans="1:9" x14ac:dyDescent="0.2">
      <c r="A882" s="1" t="s">
        <v>882</v>
      </c>
      <c r="B882" t="str">
        <f>HYPERLINK("https://www.suredividend.com/sure-analysis-research-database/","International Game Technology PLC")</f>
        <v>International Game Technology PLC</v>
      </c>
      <c r="C882">
        <v>3.0769230769220001E-3</v>
      </c>
      <c r="D882">
        <v>-2.3056320353616998E-2</v>
      </c>
      <c r="E882">
        <v>-0.15144495129268001</v>
      </c>
      <c r="F882">
        <v>-4.8522437066764013E-2</v>
      </c>
      <c r="G882">
        <v>1.06764324052E-2</v>
      </c>
      <c r="H882">
        <v>-4.9126056425325998E-2</v>
      </c>
      <c r="I882">
        <v>0.82023758008905712</v>
      </c>
    </row>
    <row r="883" spans="1:9" x14ac:dyDescent="0.2">
      <c r="A883" s="1" t="s">
        <v>883</v>
      </c>
      <c r="B883" t="str">
        <f>HYPERLINK("https://www.suredividend.com/sure-analysis-research-database/","iHeartMedia Inc")</f>
        <v>iHeartMedia Inc</v>
      </c>
      <c r="C883">
        <v>0.15111111111111</v>
      </c>
      <c r="D883">
        <v>7.7821011673150009E-3</v>
      </c>
      <c r="E883">
        <v>-0.224550898203592</v>
      </c>
      <c r="F883">
        <v>-2.9962546816478999E-2</v>
      </c>
      <c r="G883">
        <v>-0.66580645161290308</v>
      </c>
      <c r="H883">
        <v>-0.87560038424591702</v>
      </c>
      <c r="I883">
        <v>-0.84303030303030302</v>
      </c>
    </row>
    <row r="884" spans="1:9" x14ac:dyDescent="0.2">
      <c r="A884" s="1" t="s">
        <v>884</v>
      </c>
      <c r="B884" t="str">
        <f>HYPERLINK("https://www.suredividend.com/sure-analysis-research-database/","Information Services Group Inc.")</f>
        <v>Information Services Group Inc.</v>
      </c>
      <c r="C884">
        <v>-1.8099547511312E-2</v>
      </c>
      <c r="D884">
        <v>-1.3389711064128999E-2</v>
      </c>
      <c r="E884">
        <v>-8.1598103944472006E-2</v>
      </c>
      <c r="F884">
        <v>-7.8556263269639007E-2</v>
      </c>
      <c r="G884">
        <v>-0.153814658113825</v>
      </c>
      <c r="H884">
        <v>-0.36639560856679798</v>
      </c>
      <c r="I884">
        <v>0.15061374903894501</v>
      </c>
    </row>
    <row r="885" spans="1:9" x14ac:dyDescent="0.2">
      <c r="A885" s="1" t="s">
        <v>885</v>
      </c>
      <c r="B885" t="str">
        <f>HYPERLINK("https://www.suredividend.com/sure-analysis-research-database/","Insteel Industries, Inc.")</f>
        <v>Insteel Industries, Inc.</v>
      </c>
      <c r="C885">
        <v>7.2780203784570006E-3</v>
      </c>
      <c r="D885">
        <v>0.107246061436155</v>
      </c>
      <c r="E885">
        <v>0.21190468684873201</v>
      </c>
      <c r="F885">
        <v>-9.6369809349699007E-2</v>
      </c>
      <c r="G885">
        <v>0.253627730535255</v>
      </c>
      <c r="H885">
        <v>4.6407887375058E-2</v>
      </c>
      <c r="I885">
        <v>0.80243067674499702</v>
      </c>
    </row>
    <row r="886" spans="1:9" x14ac:dyDescent="0.2">
      <c r="A886" s="1" t="s">
        <v>886</v>
      </c>
      <c r="B886" t="str">
        <f>HYPERLINK("https://www.suredividend.com/sure-analysis-research-database/","i3 Verticals Inc")</f>
        <v>i3 Verticals Inc</v>
      </c>
      <c r="C886">
        <v>6.4417177914110002E-2</v>
      </c>
      <c r="D886">
        <v>3.3734939759029999E-3</v>
      </c>
      <c r="E886">
        <v>-7.2605790645879006E-2</v>
      </c>
      <c r="F886">
        <v>-1.6532829475673E-2</v>
      </c>
      <c r="G886">
        <v>-0.14567090685268699</v>
      </c>
      <c r="H886">
        <v>-0.179022082018927</v>
      </c>
      <c r="I886">
        <v>-2.5280898876404001E-2</v>
      </c>
    </row>
    <row r="887" spans="1:9" x14ac:dyDescent="0.2">
      <c r="A887" s="1" t="s">
        <v>887</v>
      </c>
      <c r="B887" t="str">
        <f>HYPERLINK("https://www.suredividend.com/sure-analysis-IIPR/","Innovative Industrial Properties Inc")</f>
        <v>Innovative Industrial Properties Inc</v>
      </c>
      <c r="C887">
        <v>-3.3035903972806001E-2</v>
      </c>
      <c r="D887">
        <v>0.15014561604113799</v>
      </c>
      <c r="E887">
        <v>0.243716859379248</v>
      </c>
      <c r="F887">
        <v>-9.7103749256099006E-2</v>
      </c>
      <c r="G887">
        <v>0.14736369778064601</v>
      </c>
      <c r="H887">
        <v>-0.42198623891658699</v>
      </c>
      <c r="I887">
        <v>0.79983707945144811</v>
      </c>
    </row>
    <row r="888" spans="1:9" x14ac:dyDescent="0.2">
      <c r="A888" s="1" t="s">
        <v>888</v>
      </c>
      <c r="B888" t="str">
        <f>HYPERLINK("https://www.suredividend.com/sure-analysis-research-database/","Ikena Oncology Inc")</f>
        <v>Ikena Oncology Inc</v>
      </c>
      <c r="C888">
        <v>-8.5526315789473006E-2</v>
      </c>
      <c r="D888">
        <v>-0.18713450292397599</v>
      </c>
      <c r="E888">
        <v>-0.67447306791569006</v>
      </c>
      <c r="F888">
        <v>-0.294416243654822</v>
      </c>
      <c r="G888">
        <v>-0.67139479905437305</v>
      </c>
      <c r="H888">
        <v>-0.82292993630573208</v>
      </c>
      <c r="I888">
        <v>-0.95656249999999998</v>
      </c>
    </row>
    <row r="889" spans="1:9" x14ac:dyDescent="0.2">
      <c r="A889" s="1" t="s">
        <v>889</v>
      </c>
      <c r="B889" t="str">
        <f>HYPERLINK("https://www.suredividend.com/sure-analysis-research-database/","Imax Corp")</f>
        <v>Imax Corp</v>
      </c>
      <c r="C889">
        <v>9.2710544939844014E-2</v>
      </c>
      <c r="D889">
        <v>-6.9318866787221003E-2</v>
      </c>
      <c r="E889">
        <v>-0.20901639344262199</v>
      </c>
      <c r="F889">
        <v>2.7962716378162E-2</v>
      </c>
      <c r="G889">
        <v>-8.5308056872037005E-2</v>
      </c>
      <c r="H889">
        <v>-0.23903400689995</v>
      </c>
      <c r="I889">
        <v>-0.281526291298278</v>
      </c>
    </row>
    <row r="890" spans="1:9" x14ac:dyDescent="0.2">
      <c r="A890" s="1" t="s">
        <v>890</v>
      </c>
      <c r="B890" t="str">
        <f>HYPERLINK("https://www.suredividend.com/sure-analysis-research-database/","Ingles Markets, Inc.")</f>
        <v>Ingles Markets, Inc.</v>
      </c>
      <c r="C890">
        <v>-9.207861822513401E-2</v>
      </c>
      <c r="D890">
        <v>-5.2852378183047007E-2</v>
      </c>
      <c r="E890">
        <v>-7.6561104831274013E-2</v>
      </c>
      <c r="F890">
        <v>-0.114152523363617</v>
      </c>
      <c r="G890">
        <v>-0.18457649222394901</v>
      </c>
      <c r="H890">
        <v>-7.7516677801338002E-2</v>
      </c>
      <c r="I890">
        <v>1.690852091394357</v>
      </c>
    </row>
    <row r="891" spans="1:9" x14ac:dyDescent="0.2">
      <c r="A891" s="1" t="s">
        <v>891</v>
      </c>
      <c r="B891" t="str">
        <f>HYPERLINK("https://www.suredividend.com/sure-analysis-research-database/","Immersion Corp")</f>
        <v>Immersion Corp</v>
      </c>
      <c r="C891">
        <v>1.3254786450662E-2</v>
      </c>
      <c r="D891">
        <v>6.3829787234042007E-2</v>
      </c>
      <c r="E891">
        <v>-8.874034804655E-3</v>
      </c>
      <c r="F891">
        <v>-1.9048705372419001E-2</v>
      </c>
      <c r="G891">
        <v>2.3261223540300001E-4</v>
      </c>
      <c r="H891">
        <v>0.47899737735930098</v>
      </c>
      <c r="I891">
        <v>-0.27860670434408702</v>
      </c>
    </row>
    <row r="892" spans="1:9" x14ac:dyDescent="0.2">
      <c r="A892" s="1" t="s">
        <v>892</v>
      </c>
      <c r="B892" t="str">
        <f>HYPERLINK("https://www.suredividend.com/sure-analysis-research-database/","Immuneering Corp")</f>
        <v>Immuneering Corp</v>
      </c>
      <c r="C892">
        <v>0.14382402707275799</v>
      </c>
      <c r="D892">
        <v>0.21146953405017899</v>
      </c>
      <c r="E892">
        <v>-0.245535714285714</v>
      </c>
      <c r="F892">
        <v>-8.0272108843537013E-2</v>
      </c>
      <c r="G892">
        <v>0.47276688453158999</v>
      </c>
      <c r="H892">
        <v>-0.18847539015606199</v>
      </c>
      <c r="I892">
        <v>-0.61569073337123303</v>
      </c>
    </row>
    <row r="893" spans="1:9" x14ac:dyDescent="0.2">
      <c r="A893" s="1" t="s">
        <v>893</v>
      </c>
      <c r="B893" t="str">
        <f>HYPERLINK("https://www.suredividend.com/sure-analysis-research-database/","Immunovant Inc")</f>
        <v>Immunovant Inc</v>
      </c>
      <c r="C893">
        <v>-7.1092395343076001E-2</v>
      </c>
      <c r="D893">
        <v>0.109467455621301</v>
      </c>
      <c r="E893">
        <v>0.8310546875</v>
      </c>
      <c r="F893">
        <v>-0.109897934963209</v>
      </c>
      <c r="G893">
        <v>1.0447110141766629</v>
      </c>
      <c r="H893">
        <v>5.8306010928961749</v>
      </c>
      <c r="I893">
        <v>2.7688442211055282</v>
      </c>
    </row>
    <row r="894" spans="1:9" x14ac:dyDescent="0.2">
      <c r="A894" s="1" t="s">
        <v>894</v>
      </c>
      <c r="B894" t="str">
        <f>HYPERLINK("https://www.suredividend.com/sure-analysis-research-database/","International Money Express Inc.")</f>
        <v>International Money Express Inc.</v>
      </c>
      <c r="C894">
        <v>-9.5648015303600011E-4</v>
      </c>
      <c r="D894">
        <v>-2.9275092936802E-2</v>
      </c>
      <c r="E894">
        <v>0.19576416714367401</v>
      </c>
      <c r="F894">
        <v>-5.4323223177907998E-2</v>
      </c>
      <c r="G894">
        <v>-0.169713831478537</v>
      </c>
      <c r="H894">
        <v>0.31798107255520502</v>
      </c>
      <c r="I894">
        <v>0.88367899008115403</v>
      </c>
    </row>
    <row r="895" spans="1:9" x14ac:dyDescent="0.2">
      <c r="A895" s="1" t="s">
        <v>895</v>
      </c>
      <c r="B895" t="str">
        <f>HYPERLINK("https://www.suredividend.com/sure-analysis-research-database/","Inhibrx Inc")</f>
        <v>Inhibrx Inc</v>
      </c>
      <c r="C895">
        <v>0.12736966824644499</v>
      </c>
      <c r="D895">
        <v>0.70979335130278509</v>
      </c>
      <c r="E895">
        <v>1.1873563218390799</v>
      </c>
      <c r="F895">
        <v>1.5789473684209999E-3</v>
      </c>
      <c r="G895">
        <v>0.58914405010438409</v>
      </c>
      <c r="H895">
        <v>0.76530612244897911</v>
      </c>
      <c r="I895">
        <v>0.84488608822103706</v>
      </c>
    </row>
    <row r="896" spans="1:9" x14ac:dyDescent="0.2">
      <c r="A896" s="1" t="s">
        <v>896</v>
      </c>
      <c r="B896" t="str">
        <f>HYPERLINK("https://www.suredividend.com/sure-analysis-INDB/","Independent Bank Corp.")</f>
        <v>Independent Bank Corp.</v>
      </c>
      <c r="C896">
        <v>-0.116738625041514</v>
      </c>
      <c r="D896">
        <v>-4.2389435497664003E-2</v>
      </c>
      <c r="E896">
        <v>-1.044217738179E-3</v>
      </c>
      <c r="F896">
        <v>-0.19176416957909101</v>
      </c>
      <c r="G896">
        <v>-0.29509521979405401</v>
      </c>
      <c r="H896">
        <v>-0.31189367017209702</v>
      </c>
      <c r="I896">
        <v>-0.250936857033011</v>
      </c>
    </row>
    <row r="897" spans="1:9" x14ac:dyDescent="0.2">
      <c r="A897" s="1" t="s">
        <v>897</v>
      </c>
      <c r="B897" t="str">
        <f>HYPERLINK("https://www.suredividend.com/sure-analysis-research-database/","Indie Semiconductor Inc")</f>
        <v>Indie Semiconductor Inc</v>
      </c>
      <c r="C897">
        <v>1.9718309859154001E-2</v>
      </c>
      <c r="D897">
        <v>-1.4965986394557E-2</v>
      </c>
      <c r="E897">
        <v>4.1726618705036002E-2</v>
      </c>
      <c r="F897">
        <v>-0.10727496917385899</v>
      </c>
      <c r="G897">
        <v>-0.286699507389162</v>
      </c>
      <c r="H897">
        <v>-9.6129837702871007E-2</v>
      </c>
      <c r="I897">
        <v>-0.32713754646840099</v>
      </c>
    </row>
    <row r="898" spans="1:9" x14ac:dyDescent="0.2">
      <c r="A898" s="1" t="s">
        <v>898</v>
      </c>
      <c r="B898" t="str">
        <f>HYPERLINK("https://www.suredividend.com/sure-analysis-research-database/","Infinera Corp.")</f>
        <v>Infinera Corp.</v>
      </c>
      <c r="C898">
        <v>1.2048192771084E-2</v>
      </c>
      <c r="D898">
        <v>0.19431279620853001</v>
      </c>
      <c r="E898">
        <v>0.238329238329238</v>
      </c>
      <c r="F898">
        <v>6.1052631578946998E-2</v>
      </c>
      <c r="G898">
        <v>-0.29902642559109799</v>
      </c>
      <c r="H898">
        <v>-0.44309392265193298</v>
      </c>
      <c r="I898">
        <v>2.8571428571428002E-2</v>
      </c>
    </row>
    <row r="899" spans="1:9" x14ac:dyDescent="0.2">
      <c r="A899" s="1" t="s">
        <v>899</v>
      </c>
      <c r="B899" t="str">
        <f>HYPERLINK("https://www.suredividend.com/sure-analysis-research-database/","InfuSystem Holdings Inc")</f>
        <v>InfuSystem Holdings Inc</v>
      </c>
      <c r="C899">
        <v>-1.3541666666665999E-2</v>
      </c>
      <c r="D899">
        <v>1.2834224598929999E-2</v>
      </c>
      <c r="E899">
        <v>-0.11163227016885501</v>
      </c>
      <c r="F899">
        <v>-0.10151802656546401</v>
      </c>
      <c r="G899">
        <v>-3.3673469387754999E-2</v>
      </c>
      <c r="H899">
        <v>-0.120705663881151</v>
      </c>
      <c r="I899">
        <v>1.379396984924623</v>
      </c>
    </row>
    <row r="900" spans="1:9" x14ac:dyDescent="0.2">
      <c r="A900" s="1" t="s">
        <v>900</v>
      </c>
      <c r="B900" t="str">
        <f>HYPERLINK("https://www.suredividend.com/sure-analysis-research-database/","Inogen Inc")</f>
        <v>Inogen Inc</v>
      </c>
      <c r="C900">
        <v>0.77383177570093409</v>
      </c>
      <c r="D900">
        <v>0.6390328151986181</v>
      </c>
      <c r="E900">
        <v>0.50874403815580205</v>
      </c>
      <c r="F900">
        <v>0.72859744990892505</v>
      </c>
      <c r="G900">
        <v>-0.59617021276595705</v>
      </c>
      <c r="H900">
        <v>-0.6738831615120271</v>
      </c>
      <c r="I900">
        <v>-0.9324603231086751</v>
      </c>
    </row>
    <row r="901" spans="1:9" x14ac:dyDescent="0.2">
      <c r="A901" s="1" t="s">
        <v>901</v>
      </c>
      <c r="B901" t="str">
        <f>HYPERLINK("https://www.suredividend.com/sure-analysis-research-database/","Inmode Ltd")</f>
        <v>Inmode Ltd</v>
      </c>
      <c r="C901">
        <v>-7.1713147410358002E-2</v>
      </c>
      <c r="D901">
        <v>-7.2123893805309008E-2</v>
      </c>
      <c r="E901">
        <v>-0.44020288307527999</v>
      </c>
      <c r="F901">
        <v>-5.7104316546762013E-2</v>
      </c>
      <c r="G901">
        <v>-0.43354943273905999</v>
      </c>
      <c r="H901">
        <v>-0.49567099567099498</v>
      </c>
      <c r="I901">
        <v>2.0906411201179069</v>
      </c>
    </row>
    <row r="902" spans="1:9" x14ac:dyDescent="0.2">
      <c r="A902" s="1" t="s">
        <v>902</v>
      </c>
      <c r="B902" t="str">
        <f>HYPERLINK("https://www.suredividend.com/sure-analysis-research-database/","Summit Hotel Properties Inc")</f>
        <v>Summit Hotel Properties Inc</v>
      </c>
      <c r="C902">
        <v>-2.7608184173690001E-2</v>
      </c>
      <c r="D902">
        <v>4.4816717067473012E-2</v>
      </c>
      <c r="E902">
        <v>0.184301207878414</v>
      </c>
      <c r="F902">
        <v>-1.8930288461537999E-2</v>
      </c>
      <c r="G902">
        <v>-0.14316830903675301</v>
      </c>
      <c r="H902">
        <v>-0.33035256475993102</v>
      </c>
      <c r="I902">
        <v>-0.37037179882752203</v>
      </c>
    </row>
    <row r="903" spans="1:9" x14ac:dyDescent="0.2">
      <c r="A903" s="1" t="s">
        <v>903</v>
      </c>
      <c r="B903" t="str">
        <f>HYPERLINK("https://www.suredividend.com/sure-analysis-research-database/","InnovAge Holding Corp")</f>
        <v>InnovAge Holding Corp</v>
      </c>
      <c r="C903">
        <v>-0.156896551724137</v>
      </c>
      <c r="D903">
        <v>-0.156896551724137</v>
      </c>
      <c r="E903">
        <v>-0.11573236889692499</v>
      </c>
      <c r="F903">
        <v>-0.185</v>
      </c>
      <c r="G903">
        <v>-0.36161879895561311</v>
      </c>
      <c r="H903">
        <v>8.4257206208425001E-2</v>
      </c>
      <c r="I903">
        <v>-0.7979338842975201</v>
      </c>
    </row>
    <row r="904" spans="1:9" x14ac:dyDescent="0.2">
      <c r="A904" s="1" t="s">
        <v>904</v>
      </c>
      <c r="B904" t="str">
        <f>HYPERLINK("https://www.suredividend.com/sure-analysis-research-database/","Innodata Inc")</f>
        <v>Innodata Inc</v>
      </c>
      <c r="C904">
        <v>9.2378752886830007E-3</v>
      </c>
      <c r="D904">
        <v>1.2746234067207001E-2</v>
      </c>
      <c r="E904">
        <v>-0.35688005886681301</v>
      </c>
      <c r="F904">
        <v>7.3710073710073001E-2</v>
      </c>
      <c r="G904">
        <v>0.19236016371077699</v>
      </c>
      <c r="H904">
        <v>0.67754318618042209</v>
      </c>
      <c r="I904">
        <v>5.2877697841726627</v>
      </c>
    </row>
    <row r="905" spans="1:9" x14ac:dyDescent="0.2">
      <c r="A905" s="1" t="s">
        <v>905</v>
      </c>
      <c r="B905" t="str">
        <f>HYPERLINK("https://www.suredividend.com/sure-analysis-research-database/","Inspired Entertainment Inc")</f>
        <v>Inspired Entertainment Inc</v>
      </c>
      <c r="C905">
        <v>4.6485260770975013E-2</v>
      </c>
      <c r="D905">
        <v>0.18333333333333299</v>
      </c>
      <c r="E905">
        <v>-0.28282828282828198</v>
      </c>
      <c r="F905">
        <v>-6.5789473684210009E-2</v>
      </c>
      <c r="G905">
        <v>-0.42312499999999997</v>
      </c>
      <c r="H905">
        <v>-0.37550744248985102</v>
      </c>
      <c r="I905">
        <v>0.34941520467836201</v>
      </c>
    </row>
    <row r="906" spans="1:9" x14ac:dyDescent="0.2">
      <c r="A906" s="1" t="s">
        <v>906</v>
      </c>
      <c r="B906" t="str">
        <f>HYPERLINK("https://www.suredividend.com/sure-analysis-research-database/","Insmed Inc")</f>
        <v>Insmed Inc</v>
      </c>
      <c r="C906">
        <v>4.3214285714284997E-2</v>
      </c>
      <c r="D906">
        <v>0.18643379366368701</v>
      </c>
      <c r="E906">
        <v>0.34422457432121401</v>
      </c>
      <c r="F906">
        <v>-5.7437883188124997E-2</v>
      </c>
      <c r="G906">
        <v>0.41727316836487099</v>
      </c>
      <c r="H906">
        <v>0.28339191564147598</v>
      </c>
      <c r="I906">
        <v>0.122598001537279</v>
      </c>
    </row>
    <row r="907" spans="1:9" x14ac:dyDescent="0.2">
      <c r="A907" s="1" t="s">
        <v>907</v>
      </c>
      <c r="B907" t="str">
        <f>HYPERLINK("https://www.suredividend.com/sure-analysis-research-database/","Instructure Holdings Inc")</f>
        <v>Instructure Holdings Inc</v>
      </c>
      <c r="C907">
        <v>-6.6851265822784001E-2</v>
      </c>
      <c r="D907">
        <v>-6.7588932806324012E-2</v>
      </c>
      <c r="E907">
        <v>-8.0670303975058005E-2</v>
      </c>
      <c r="F907">
        <v>-0.126619770455386</v>
      </c>
      <c r="G907">
        <v>-0.110482654600301</v>
      </c>
      <c r="H907">
        <v>4.8444444444444013E-2</v>
      </c>
      <c r="I907">
        <v>0.124404194470924</v>
      </c>
    </row>
    <row r="908" spans="1:9" x14ac:dyDescent="0.2">
      <c r="A908" s="1" t="s">
        <v>908</v>
      </c>
      <c r="B908" t="str">
        <f>HYPERLINK("https://www.suredividend.com/sure-analysis-research-database/","International Seaways Inc")</f>
        <v>International Seaways Inc</v>
      </c>
      <c r="C908">
        <v>-2.5724085365853001E-2</v>
      </c>
      <c r="D908">
        <v>0.12397835138117599</v>
      </c>
      <c r="E908">
        <v>0.126221376399792</v>
      </c>
      <c r="F908">
        <v>0.124230430958663</v>
      </c>
      <c r="G908">
        <v>0.18349906486676601</v>
      </c>
      <c r="H908">
        <v>2.298390478340806</v>
      </c>
      <c r="I908">
        <v>2.4039465274818919</v>
      </c>
    </row>
    <row r="909" spans="1:9" x14ac:dyDescent="0.2">
      <c r="A909" s="1" t="s">
        <v>909</v>
      </c>
      <c r="B909" t="str">
        <f>HYPERLINK("https://www.suredividend.com/sure-analysis-research-database/","Intapp Inc")</f>
        <v>Intapp Inc</v>
      </c>
      <c r="C909">
        <v>-6.7226890756302005E-2</v>
      </c>
      <c r="D909">
        <v>6.0144553433142997E-2</v>
      </c>
      <c r="E909">
        <v>0.14528722810931399</v>
      </c>
      <c r="F909">
        <v>8.0220936349289007E-2</v>
      </c>
      <c r="G909">
        <v>5.3887605850653997E-2</v>
      </c>
      <c r="H909">
        <v>0.91647223518432108</v>
      </c>
      <c r="I909">
        <v>0.46678571428571403</v>
      </c>
    </row>
    <row r="910" spans="1:9" x14ac:dyDescent="0.2">
      <c r="A910" s="1" t="s">
        <v>910</v>
      </c>
      <c r="B910" t="str">
        <f>HYPERLINK("https://www.suredividend.com/sure-analysis-research-database/","Intest Corp.")</f>
        <v>Intest Corp.</v>
      </c>
      <c r="C910">
        <v>-7.1090047393365011E-2</v>
      </c>
      <c r="D910">
        <v>-6.8883610451306004E-2</v>
      </c>
      <c r="E910">
        <v>-0.29411764705882298</v>
      </c>
      <c r="F910">
        <v>-0.13529411764705801</v>
      </c>
      <c r="G910">
        <v>-0.21912350597609501</v>
      </c>
      <c r="H910">
        <v>4.3478260869565001E-2</v>
      </c>
      <c r="I910">
        <v>0.52529182879377401</v>
      </c>
    </row>
    <row r="911" spans="1:9" x14ac:dyDescent="0.2">
      <c r="A911" s="1" t="s">
        <v>911</v>
      </c>
      <c r="B911" t="str">
        <f>HYPERLINK("https://www.suredividend.com/sure-analysis-research-database/","Innoviva Inc")</f>
        <v>Innoviva Inc</v>
      </c>
      <c r="C911">
        <v>-2.8290282902828999E-2</v>
      </c>
      <c r="D911">
        <v>0.16005873715124799</v>
      </c>
      <c r="E911">
        <v>0.15835777126099701</v>
      </c>
      <c r="F911">
        <v>-1.4962593516209001E-2</v>
      </c>
      <c r="G911">
        <v>0.272141706924315</v>
      </c>
      <c r="H911">
        <v>-0.2096048024012</v>
      </c>
      <c r="I911">
        <v>7.7027948193592002E-2</v>
      </c>
    </row>
    <row r="912" spans="1:9" x14ac:dyDescent="0.2">
      <c r="A912" s="1" t="s">
        <v>912</v>
      </c>
      <c r="B912" t="str">
        <f>HYPERLINK("https://www.suredividend.com/sure-analysis-research-database/","Inozyme Pharma Inc")</f>
        <v>Inozyme Pharma Inc</v>
      </c>
      <c r="C912">
        <v>0.34106728538282999</v>
      </c>
      <c r="D912">
        <v>0.48205128205128212</v>
      </c>
      <c r="E912">
        <v>0.21174004192872101</v>
      </c>
      <c r="F912">
        <v>0.35680751173708902</v>
      </c>
      <c r="G912">
        <v>1</v>
      </c>
      <c r="H912">
        <v>-0.116207951070336</v>
      </c>
      <c r="I912">
        <v>-0.67046750285062706</v>
      </c>
    </row>
    <row r="913" spans="1:9" x14ac:dyDescent="0.2">
      <c r="A913" s="1" t="s">
        <v>913</v>
      </c>
      <c r="B913" t="str">
        <f>HYPERLINK("https://www.suredividend.com/sure-analysis-research-database/","IonQ Inc")</f>
        <v>IonQ Inc</v>
      </c>
      <c r="C913">
        <v>-2.1198156682027E-2</v>
      </c>
      <c r="D913">
        <v>-0.17354085603112801</v>
      </c>
      <c r="E913">
        <v>-0.20864381520119199</v>
      </c>
      <c r="F913">
        <v>-0.14285714285714199</v>
      </c>
      <c r="G913">
        <v>1.1762295081967209</v>
      </c>
      <c r="H913">
        <v>-0.27656675749318799</v>
      </c>
      <c r="I913">
        <v>0.37386804657179801</v>
      </c>
    </row>
    <row r="914" spans="1:9" x14ac:dyDescent="0.2">
      <c r="A914" s="1" t="s">
        <v>914</v>
      </c>
      <c r="B914" t="str">
        <f>HYPERLINK("https://www.suredividend.com/sure-analysis-research-database/","Innospec Inc")</f>
        <v>Innospec Inc</v>
      </c>
      <c r="C914">
        <v>4.8712063249171003E-2</v>
      </c>
      <c r="D914">
        <v>0.13727297870378899</v>
      </c>
      <c r="E914">
        <v>0.17402861409233999</v>
      </c>
      <c r="F914">
        <v>9.737098344690001E-4</v>
      </c>
      <c r="G914">
        <v>9.9499538755665001E-2</v>
      </c>
      <c r="H914">
        <v>0.28743271139423798</v>
      </c>
      <c r="I914">
        <v>0.70418752693876208</v>
      </c>
    </row>
    <row r="915" spans="1:9" x14ac:dyDescent="0.2">
      <c r="A915" s="1" t="s">
        <v>915</v>
      </c>
      <c r="B915" t="str">
        <f>HYPERLINK("https://www.suredividend.com/sure-analysis-research-database/","Iovance Biotherapeutics Inc")</f>
        <v>Iovance Biotherapeutics Inc</v>
      </c>
      <c r="C915">
        <v>0.54627249357326402</v>
      </c>
      <c r="D915">
        <v>1.191256830601092</v>
      </c>
      <c r="E915">
        <v>0.98187808896210804</v>
      </c>
      <c r="F915">
        <v>0.47970479704796998</v>
      </c>
      <c r="G915">
        <v>0.63673469387755099</v>
      </c>
      <c r="H915">
        <v>-0.24812500000000001</v>
      </c>
      <c r="I915">
        <v>0.216380182002022</v>
      </c>
    </row>
    <row r="916" spans="1:9" x14ac:dyDescent="0.2">
      <c r="A916" s="1" t="s">
        <v>916</v>
      </c>
      <c r="B916" t="str">
        <f>HYPERLINK("https://www.suredividend.com/sure-analysis-IPAR/","Inter Parfums, Inc.")</f>
        <v>Inter Parfums, Inc.</v>
      </c>
      <c r="C916">
        <v>0.12028474974313801</v>
      </c>
      <c r="D916">
        <v>0.23347156187477899</v>
      </c>
      <c r="E916">
        <v>0.18762905205961999</v>
      </c>
      <c r="F916">
        <v>5.9995833622665001E-2</v>
      </c>
      <c r="G916">
        <v>0.33443363279778199</v>
      </c>
      <c r="H916">
        <v>0.70005334592549606</v>
      </c>
      <c r="I916">
        <v>1.3024306367317999</v>
      </c>
    </row>
    <row r="917" spans="1:9" x14ac:dyDescent="0.2">
      <c r="A917" s="1" t="s">
        <v>917</v>
      </c>
      <c r="B917" t="str">
        <f>HYPERLINK("https://www.suredividend.com/sure-analysis-research-database/","Intrepid Potash Inc")</f>
        <v>Intrepid Potash Inc</v>
      </c>
      <c r="C917">
        <v>3.7570766855378003E-2</v>
      </c>
      <c r="D917">
        <v>3.4376603386351012E-2</v>
      </c>
      <c r="E917">
        <v>-0.22282189668465599</v>
      </c>
      <c r="F917">
        <v>-0.15613227291753801</v>
      </c>
      <c r="G917">
        <v>-0.36363636363636298</v>
      </c>
      <c r="H917">
        <v>-0.55672823218997303</v>
      </c>
      <c r="I917">
        <v>-0.49090909090909002</v>
      </c>
    </row>
    <row r="918" spans="1:9" x14ac:dyDescent="0.2">
      <c r="A918" s="1" t="s">
        <v>918</v>
      </c>
      <c r="B918" t="str">
        <f>HYPERLINK("https://www.suredividend.com/sure-analysis-research-database/","Century Therapeutics Inc")</f>
        <v>Century Therapeutics Inc</v>
      </c>
      <c r="C918">
        <v>0.203655352480417</v>
      </c>
      <c r="D918">
        <v>2.2237762237762242</v>
      </c>
      <c r="E918">
        <v>0.70740740740740704</v>
      </c>
      <c r="F918">
        <v>0.38855421686746999</v>
      </c>
      <c r="G918">
        <v>-3.3542976939203002E-2</v>
      </c>
      <c r="H918">
        <v>-0.62213114754098309</v>
      </c>
      <c r="I918">
        <v>-0.79807271134472102</v>
      </c>
    </row>
    <row r="919" spans="1:9" x14ac:dyDescent="0.2">
      <c r="A919" s="1" t="s">
        <v>919</v>
      </c>
      <c r="B919" t="str">
        <f>HYPERLINK("https://www.suredividend.com/sure-analysis-research-database/","Irobot Corp")</f>
        <v>Irobot Corp</v>
      </c>
      <c r="C919">
        <v>-0.28736964078794902</v>
      </c>
      <c r="D919">
        <v>-0.5969855832241151</v>
      </c>
      <c r="E919">
        <v>-0.6672978090343521</v>
      </c>
      <c r="F919">
        <v>-0.68217054263565802</v>
      </c>
      <c r="G919">
        <v>-0.70138383102694801</v>
      </c>
      <c r="H919">
        <v>-0.79187817258883209</v>
      </c>
      <c r="I919">
        <v>-0.89961642046845602</v>
      </c>
    </row>
    <row r="920" spans="1:9" x14ac:dyDescent="0.2">
      <c r="A920" s="1" t="s">
        <v>920</v>
      </c>
      <c r="B920" t="str">
        <f>HYPERLINK("https://www.suredividend.com/sure-analysis-research-database/","Iradimed Corp")</f>
        <v>Iradimed Corp</v>
      </c>
      <c r="C920">
        <v>1.1945007888211999E-2</v>
      </c>
      <c r="D920">
        <v>5.2782135060927007E-2</v>
      </c>
      <c r="E920">
        <v>-4.7703884689452997E-2</v>
      </c>
      <c r="F920">
        <v>-5.4139456498841013E-2</v>
      </c>
      <c r="G920">
        <v>0.20909541351601699</v>
      </c>
      <c r="H920">
        <v>-1.5184581606980999E-2</v>
      </c>
      <c r="I920">
        <v>0.77891529748297306</v>
      </c>
    </row>
    <row r="921" spans="1:9" x14ac:dyDescent="0.2">
      <c r="A921" s="1" t="s">
        <v>921</v>
      </c>
      <c r="B921" t="str">
        <f>HYPERLINK("https://www.suredividend.com/sure-analysis-research-database/","Disc Medicine Inc")</f>
        <v>Disc Medicine Inc</v>
      </c>
      <c r="C921">
        <v>2.6504906885093001E-2</v>
      </c>
      <c r="D921">
        <v>0.29954999021717799</v>
      </c>
      <c r="E921">
        <v>0.28199189345686099</v>
      </c>
      <c r="F921">
        <v>0.14993074792243699</v>
      </c>
      <c r="G921">
        <v>1.7755954868366071</v>
      </c>
      <c r="H921">
        <v>40.254658385093173</v>
      </c>
      <c r="I921">
        <v>5.4485436893203882</v>
      </c>
    </row>
    <row r="922" spans="1:9" x14ac:dyDescent="0.2">
      <c r="A922" s="1" t="s">
        <v>922</v>
      </c>
      <c r="B922" t="str">
        <f>HYPERLINK("https://www.suredividend.com/sure-analysis-IRT/","Independence Realty Trust Inc")</f>
        <v>Independence Realty Trust Inc</v>
      </c>
      <c r="C922">
        <v>-1.8661518661517999E-2</v>
      </c>
      <c r="D922">
        <v>0.15331094775690399</v>
      </c>
      <c r="E922">
        <v>-2.8959299067799999E-2</v>
      </c>
      <c r="F922">
        <v>-3.2679738562089999E-3</v>
      </c>
      <c r="G922">
        <v>-0.15333751575347401</v>
      </c>
      <c r="H922">
        <v>-0.33569434098700501</v>
      </c>
      <c r="I922">
        <v>0.74933467926952302</v>
      </c>
    </row>
    <row r="923" spans="1:9" x14ac:dyDescent="0.2">
      <c r="A923" s="1" t="s">
        <v>923</v>
      </c>
      <c r="B923" t="str">
        <f>HYPERLINK("https://www.suredividend.com/sure-analysis-research-database/","iRhythm Technologies Inc")</f>
        <v>iRhythm Technologies Inc</v>
      </c>
      <c r="C923">
        <v>2.4477121198282999E-2</v>
      </c>
      <c r="D923">
        <v>0.34190692666586903</v>
      </c>
      <c r="E923">
        <v>1.9263970922307999E-2</v>
      </c>
      <c r="F923">
        <v>4.7926008968608998E-2</v>
      </c>
      <c r="G923">
        <v>-4.967621751086E-3</v>
      </c>
      <c r="H923">
        <v>-6.6418703506900007E-3</v>
      </c>
      <c r="I923">
        <v>0.19801345722524799</v>
      </c>
    </row>
    <row r="924" spans="1:9" x14ac:dyDescent="0.2">
      <c r="A924" s="1" t="s">
        <v>924</v>
      </c>
      <c r="B924" t="str">
        <f>HYPERLINK("https://www.suredividend.com/sure-analysis-research-database/","Ironwood Pharmaceuticals Inc")</f>
        <v>Ironwood Pharmaceuticals Inc</v>
      </c>
      <c r="C924">
        <v>0.170481452249408</v>
      </c>
      <c r="D924">
        <v>0.55941114616193399</v>
      </c>
      <c r="E924">
        <v>0.48895582329317211</v>
      </c>
      <c r="F924">
        <v>0.29632867132867102</v>
      </c>
      <c r="G924">
        <v>0.25147679324894501</v>
      </c>
      <c r="H924">
        <v>0.38339552238805902</v>
      </c>
      <c r="I924">
        <v>0.20480948899179399</v>
      </c>
    </row>
    <row r="925" spans="1:9" x14ac:dyDescent="0.2">
      <c r="A925" s="1" t="s">
        <v>925</v>
      </c>
      <c r="B925" t="str">
        <f>HYPERLINK("https://www.suredividend.com/sure-analysis-research-database/","Ispire Technology Inc")</f>
        <v>Ispire Technology Inc</v>
      </c>
      <c r="C925">
        <v>0.29111111111111099</v>
      </c>
      <c r="D925">
        <v>-8.1422924901185009E-2</v>
      </c>
      <c r="E925">
        <v>0.176113360323886</v>
      </c>
      <c r="F925">
        <v>-4.2044517724648997E-2</v>
      </c>
      <c r="G925">
        <v>0.53907284768211905</v>
      </c>
      <c r="H925">
        <v>0.53907284768211905</v>
      </c>
      <c r="I925">
        <v>0.53907284768211905</v>
      </c>
    </row>
    <row r="926" spans="1:9" x14ac:dyDescent="0.2">
      <c r="A926" s="1" t="s">
        <v>926</v>
      </c>
      <c r="B926" t="str">
        <f>HYPERLINK("https://www.suredividend.com/sure-analysis-research-database/","Intra-Cellular Therapies Inc")</f>
        <v>Intra-Cellular Therapies Inc</v>
      </c>
      <c r="C926">
        <v>0.126050420168067</v>
      </c>
      <c r="D926">
        <v>0.25853825136612002</v>
      </c>
      <c r="E926">
        <v>0.31045519203413902</v>
      </c>
      <c r="F926">
        <v>2.9042166992460001E-2</v>
      </c>
      <c r="G926">
        <v>0.47370525894820997</v>
      </c>
      <c r="H926">
        <v>0.30143033727706098</v>
      </c>
      <c r="I926">
        <v>4.5</v>
      </c>
    </row>
    <row r="927" spans="1:9" x14ac:dyDescent="0.2">
      <c r="A927" s="1" t="s">
        <v>927</v>
      </c>
      <c r="B927" t="str">
        <f>HYPERLINK("https://www.suredividend.com/sure-analysis-research-database/","Integer Holdings Corp")</f>
        <v>Integer Holdings Corp</v>
      </c>
      <c r="C927">
        <v>-3.5291854986056012E-2</v>
      </c>
      <c r="D927">
        <v>0.119018404907975</v>
      </c>
      <c r="E927">
        <v>0.19670762256948501</v>
      </c>
      <c r="F927">
        <v>1.2515139281387999E-2</v>
      </c>
      <c r="G927">
        <v>0.31584470094438599</v>
      </c>
      <c r="H927">
        <v>0.199282725642558</v>
      </c>
      <c r="I927">
        <v>0.176774193548387</v>
      </c>
    </row>
    <row r="928" spans="1:9" x14ac:dyDescent="0.2">
      <c r="A928" s="1" t="s">
        <v>928</v>
      </c>
      <c r="B928" t="str">
        <f>HYPERLINK("https://www.suredividend.com/sure-analysis-research-database/","Iteris Inc.")</f>
        <v>Iteris Inc.</v>
      </c>
      <c r="C928">
        <v>3.7894736842105002E-2</v>
      </c>
      <c r="D928">
        <v>0.16824644549762999</v>
      </c>
      <c r="E928">
        <v>0.16824644549762999</v>
      </c>
      <c r="F928">
        <v>-5.1923076923076003E-2</v>
      </c>
      <c r="G928">
        <v>9.5555555555555005E-2</v>
      </c>
      <c r="H928">
        <v>0.48942598187311098</v>
      </c>
      <c r="I928">
        <v>6.9414316702819001E-2</v>
      </c>
    </row>
    <row r="929" spans="1:9" x14ac:dyDescent="0.2">
      <c r="A929" s="1" t="s">
        <v>929</v>
      </c>
      <c r="B929" t="str">
        <f>HYPERLINK("https://www.suredividend.com/sure-analysis-research-database/","Investors Title Co.")</f>
        <v>Investors Title Co.</v>
      </c>
      <c r="C929">
        <v>-3.8265306122449998E-3</v>
      </c>
      <c r="D929">
        <v>6.370807818867201E-2</v>
      </c>
      <c r="E929">
        <v>3.9288706019025003E-2</v>
      </c>
      <c r="F929">
        <v>-3.6635006784260002E-2</v>
      </c>
      <c r="G929">
        <v>-1.1312308845272999E-2</v>
      </c>
      <c r="H929">
        <v>-0.17053123703955</v>
      </c>
      <c r="I929">
        <v>1.6098195937818E-2</v>
      </c>
    </row>
    <row r="930" spans="1:9" x14ac:dyDescent="0.2">
      <c r="A930" s="1" t="s">
        <v>930</v>
      </c>
      <c r="B930" t="str">
        <f>HYPERLINK("https://www.suredividend.com/sure-analysis-research-database/","ITeos Therapeutics Inc")</f>
        <v>ITeos Therapeutics Inc</v>
      </c>
      <c r="C930">
        <v>-2.5592417061611E-2</v>
      </c>
      <c r="D930">
        <v>8.832188420019E-3</v>
      </c>
      <c r="E930">
        <v>-0.13175675675675599</v>
      </c>
      <c r="F930">
        <v>-6.1187214611872008E-2</v>
      </c>
      <c r="G930">
        <v>-0.45144076840981812</v>
      </c>
      <c r="H930">
        <v>-0.69612769731007906</v>
      </c>
      <c r="I930">
        <v>-0.46036745406824098</v>
      </c>
    </row>
    <row r="931" spans="1:9" x14ac:dyDescent="0.2">
      <c r="A931" s="1" t="s">
        <v>931</v>
      </c>
      <c r="B931" t="str">
        <f>HYPERLINK("https://www.suredividend.com/sure-analysis-research-database/","Itron Inc.")</f>
        <v>Itron Inc.</v>
      </c>
      <c r="C931">
        <v>-6.4567136645139996E-3</v>
      </c>
      <c r="D931">
        <v>0.12941881366087399</v>
      </c>
      <c r="E931">
        <v>0.122190802202708</v>
      </c>
      <c r="F931">
        <v>-1.456760693947E-3</v>
      </c>
      <c r="G931">
        <v>0.31726065688329802</v>
      </c>
      <c r="H931">
        <v>0.38171156312992499</v>
      </c>
      <c r="I931">
        <v>0.22125040492387399</v>
      </c>
    </row>
    <row r="932" spans="1:9" x14ac:dyDescent="0.2">
      <c r="A932" s="1" t="s">
        <v>932</v>
      </c>
      <c r="B932" t="str">
        <f>HYPERLINK("https://www.suredividend.com/sure-analysis-research-database/","Intevac, Inc.")</f>
        <v>Intevac, Inc.</v>
      </c>
      <c r="C932">
        <v>-0.123543123543123</v>
      </c>
      <c r="D932">
        <v>5.3475935828870003E-3</v>
      </c>
      <c r="E932">
        <v>7.7363896848137007E-2</v>
      </c>
      <c r="F932">
        <v>-0.12962962962962901</v>
      </c>
      <c r="G932">
        <v>-0.49189189189189197</v>
      </c>
      <c r="H932">
        <v>-0.249500998003992</v>
      </c>
      <c r="I932">
        <v>-0.39354838709677398</v>
      </c>
    </row>
    <row r="933" spans="1:9" x14ac:dyDescent="0.2">
      <c r="A933" s="1" t="s">
        <v>933</v>
      </c>
      <c r="B933" t="str">
        <f>HYPERLINK("https://www.suredividend.com/sure-analysis-research-database/","Invesco Mortgage Capital Inc")</f>
        <v>Invesco Mortgage Capital Inc</v>
      </c>
      <c r="C933">
        <v>-4.5303867403313998E-2</v>
      </c>
      <c r="D933">
        <v>0.12564490072437301</v>
      </c>
      <c r="E933">
        <v>-9.8139913571741011E-2</v>
      </c>
      <c r="F933">
        <v>-2.4830699774266E-2</v>
      </c>
      <c r="G933">
        <v>-0.25941164369471198</v>
      </c>
      <c r="H933">
        <v>-0.47731713661744302</v>
      </c>
      <c r="I933">
        <v>-0.85343809795220404</v>
      </c>
    </row>
    <row r="934" spans="1:9" x14ac:dyDescent="0.2">
      <c r="A934" s="1" t="s">
        <v>934</v>
      </c>
      <c r="B934" t="str">
        <f>HYPERLINK("https://www.suredividend.com/sure-analysis-research-database/","InvenTrust Properties Corp")</f>
        <v>InvenTrust Properties Corp</v>
      </c>
      <c r="C934">
        <v>-7.9617834394900007E-4</v>
      </c>
      <c r="D934">
        <v>2.3900530714976002E-2</v>
      </c>
      <c r="E934">
        <v>9.6692445493074014E-2</v>
      </c>
      <c r="F934">
        <v>-9.4711917916330008E-3</v>
      </c>
      <c r="G934">
        <v>6.8407901961869008E-2</v>
      </c>
      <c r="H934">
        <v>8.6156908563763013E-2</v>
      </c>
      <c r="I934">
        <v>2.9841269841269842</v>
      </c>
    </row>
    <row r="935" spans="1:9" x14ac:dyDescent="0.2">
      <c r="A935" s="1" t="s">
        <v>935</v>
      </c>
      <c r="B935" t="str">
        <f>HYPERLINK("https://www.suredividend.com/sure-analysis-JACK/","Jack In The Box, Inc.")</f>
        <v>Jack In The Box, Inc.</v>
      </c>
      <c r="C935">
        <v>-5.5007052186177012E-2</v>
      </c>
      <c r="D935">
        <v>8.8888462066937013E-2</v>
      </c>
      <c r="E935">
        <v>-6.2603342575869012E-2</v>
      </c>
      <c r="F935">
        <v>-9.7145657233860011E-2</v>
      </c>
      <c r="G935">
        <v>-6.1802637391174003E-2</v>
      </c>
      <c r="H935">
        <v>-0.13296259739465199</v>
      </c>
      <c r="I935">
        <v>4.6088947367674001E-2</v>
      </c>
    </row>
    <row r="936" spans="1:9" x14ac:dyDescent="0.2">
      <c r="A936" s="1" t="s">
        <v>936</v>
      </c>
      <c r="B936" t="str">
        <f>HYPERLINK("https://www.suredividend.com/sure-analysis-research-database/","Jakks Pacific Inc.")</f>
        <v>Jakks Pacific Inc.</v>
      </c>
      <c r="C936">
        <v>8.5326438267614005E-2</v>
      </c>
      <c r="D936">
        <v>0.141012572205232</v>
      </c>
      <c r="E936">
        <v>0.73719606828763606</v>
      </c>
      <c r="F936">
        <v>-5.5414908579465003E-2</v>
      </c>
      <c r="G936">
        <v>0.57136172204024305</v>
      </c>
      <c r="H936">
        <v>1.4158273381294959</v>
      </c>
      <c r="I936">
        <v>0.70456852791878111</v>
      </c>
    </row>
    <row r="937" spans="1:9" x14ac:dyDescent="0.2">
      <c r="A937" s="1" t="s">
        <v>937</v>
      </c>
      <c r="B937" t="str">
        <f>HYPERLINK("https://www.suredividend.com/sure-analysis-research-database/","Jamf Holding Corp")</f>
        <v>Jamf Holding Corp</v>
      </c>
      <c r="C937">
        <v>7.9812206572769009E-2</v>
      </c>
      <c r="D937">
        <v>0.204188481675392</v>
      </c>
      <c r="E937">
        <v>0.22775800711743699</v>
      </c>
      <c r="F937">
        <v>0.146179401993355</v>
      </c>
      <c r="G937">
        <v>-4.8285852245299999E-4</v>
      </c>
      <c r="H937">
        <v>-0.35794044665012398</v>
      </c>
      <c r="I937">
        <v>-0.47193877551020402</v>
      </c>
    </row>
    <row r="938" spans="1:9" x14ac:dyDescent="0.2">
      <c r="A938" s="1" t="s">
        <v>938</v>
      </c>
      <c r="B938" t="str">
        <f>HYPERLINK("https://www.suredividend.com/sure-analysis-research-database/","Janux Therapeutics Inc")</f>
        <v>Janux Therapeutics Inc</v>
      </c>
      <c r="C938">
        <v>7.6756756756756001E-2</v>
      </c>
      <c r="D938">
        <v>0.100552486187845</v>
      </c>
      <c r="E938">
        <v>-9.9457504520795006E-2</v>
      </c>
      <c r="F938">
        <v>-7.1761416589002008E-2</v>
      </c>
      <c r="G938">
        <v>-0.43601359003397511</v>
      </c>
      <c r="H938">
        <v>-0.37160883280757001</v>
      </c>
      <c r="I938">
        <v>-0.603976143141153</v>
      </c>
    </row>
    <row r="939" spans="1:9" x14ac:dyDescent="0.2">
      <c r="A939" s="1" t="s">
        <v>939</v>
      </c>
      <c r="B939" t="str">
        <f>HYPERLINK("https://www.suredividend.com/sure-analysis-research-database/","JBG SMITH Properties")</f>
        <v>JBG SMITH Properties</v>
      </c>
      <c r="C939">
        <v>-3.9497307001794997E-2</v>
      </c>
      <c r="D939">
        <v>0.181885125184094</v>
      </c>
      <c r="E939">
        <v>0.14850408237743901</v>
      </c>
      <c r="F939">
        <v>-5.6437389770722997E-2</v>
      </c>
      <c r="G939">
        <v>-0.10246444808553699</v>
      </c>
      <c r="H939">
        <v>-0.36536682193102399</v>
      </c>
      <c r="I939">
        <v>-0.53288164006565808</v>
      </c>
    </row>
    <row r="940" spans="1:9" x14ac:dyDescent="0.2">
      <c r="A940" s="1" t="s">
        <v>940</v>
      </c>
      <c r="B940" t="str">
        <f>HYPERLINK("https://www.suredividend.com/sure-analysis-research-database/","Janus International Group Inc")</f>
        <v>Janus International Group Inc</v>
      </c>
      <c r="C940">
        <v>9.0645395213923008E-2</v>
      </c>
      <c r="D940">
        <v>0.41753063147973601</v>
      </c>
      <c r="E940">
        <v>0.28547008547008501</v>
      </c>
      <c r="F940">
        <v>0.152490421455938</v>
      </c>
      <c r="G940">
        <v>0.38235294117647001</v>
      </c>
      <c r="H940">
        <v>0.48323471400394402</v>
      </c>
      <c r="I940">
        <v>0.53940634595701109</v>
      </c>
    </row>
    <row r="941" spans="1:9" x14ac:dyDescent="0.2">
      <c r="A941" s="1" t="s">
        <v>941</v>
      </c>
      <c r="B941" t="str">
        <f>HYPERLINK("https://www.suredividend.com/sure-analysis-research-database/","Jetblue Airways Corp")</f>
        <v>Jetblue Airways Corp</v>
      </c>
      <c r="C941">
        <v>0.40480961923847603</v>
      </c>
      <c r="D941">
        <v>0.59318181818181803</v>
      </c>
      <c r="E941">
        <v>0.103937007874015</v>
      </c>
      <c r="F941">
        <v>0.26306306306306299</v>
      </c>
      <c r="G941">
        <v>-0.18677494199535899</v>
      </c>
      <c r="H941">
        <v>-0.54774193548387107</v>
      </c>
      <c r="I941">
        <v>-0.60079726651480603</v>
      </c>
    </row>
    <row r="942" spans="1:9" x14ac:dyDescent="0.2">
      <c r="A942" s="1" t="s">
        <v>942</v>
      </c>
      <c r="B942" t="str">
        <f>HYPERLINK("https://www.suredividend.com/sure-analysis-research-database/","Sanfilippo (John B.) &amp; Son, Inc")</f>
        <v>Sanfilippo (John B.) &amp; Son, Inc</v>
      </c>
      <c r="C942">
        <v>-3.4829202947086003E-2</v>
      </c>
      <c r="D942">
        <v>9.143042631465001E-2</v>
      </c>
      <c r="E942">
        <v>-6.052173638852E-3</v>
      </c>
      <c r="F942">
        <v>-2.1059782608695E-2</v>
      </c>
      <c r="G942">
        <v>0.146312526137789</v>
      </c>
      <c r="H942">
        <v>0.34277772748813801</v>
      </c>
      <c r="I942">
        <v>0.66265028466313503</v>
      </c>
    </row>
    <row r="943" spans="1:9" x14ac:dyDescent="0.2">
      <c r="A943" s="1" t="s">
        <v>943</v>
      </c>
      <c r="B943" t="str">
        <f>HYPERLINK("https://www.suredividend.com/sure-analysis-research-database/","John Bean Technologies Corp")</f>
        <v>John Bean Technologies Corp</v>
      </c>
      <c r="C943">
        <v>3.5361676405399001E-2</v>
      </c>
      <c r="D943">
        <v>-3.3676973360062E-2</v>
      </c>
      <c r="E943">
        <v>-4.1689357035755013E-2</v>
      </c>
      <c r="F943">
        <v>3.3383609854196999E-2</v>
      </c>
      <c r="G943">
        <v>-8.2206669161268009E-2</v>
      </c>
      <c r="H943">
        <v>-0.21258515259083699</v>
      </c>
      <c r="I943">
        <v>0.17935164922177901</v>
      </c>
    </row>
    <row r="944" spans="1:9" x14ac:dyDescent="0.2">
      <c r="A944" s="1" t="s">
        <v>944</v>
      </c>
      <c r="B944" t="str">
        <f>HYPERLINK("https://www.suredividend.com/sure-analysis-research-database/","JELD-WEN Holding Inc.")</f>
        <v>JELD-WEN Holding Inc.</v>
      </c>
      <c r="C944">
        <v>5.5248618784520002E-3</v>
      </c>
      <c r="D944">
        <v>0.15997450605481101</v>
      </c>
      <c r="E944">
        <v>0.22641509433962201</v>
      </c>
      <c r="F944">
        <v>-3.6016949152541999E-2</v>
      </c>
      <c r="G944">
        <v>0.41414141414141398</v>
      </c>
      <c r="H944">
        <v>-0.22914019483269801</v>
      </c>
      <c r="I944">
        <v>-0.15230554261760501</v>
      </c>
    </row>
    <row r="945" spans="1:9" x14ac:dyDescent="0.2">
      <c r="A945" s="1" t="s">
        <v>945</v>
      </c>
      <c r="B945" t="str">
        <f>HYPERLINK("https://www.suredividend.com/sure-analysis-research-database/","J.Jill Inc")</f>
        <v>J.Jill Inc</v>
      </c>
      <c r="C945">
        <v>2.2194821208384001E-2</v>
      </c>
      <c r="D945">
        <v>-0.204414587332053</v>
      </c>
      <c r="E945">
        <v>5.2475666525603003E-2</v>
      </c>
      <c r="F945">
        <v>-3.5298681148175998E-2</v>
      </c>
      <c r="G945">
        <v>-0.140338748703767</v>
      </c>
      <c r="H945">
        <v>0.63403416557161607</v>
      </c>
      <c r="I945">
        <v>8.0538925796369999E-3</v>
      </c>
    </row>
    <row r="946" spans="1:9" x14ac:dyDescent="0.2">
      <c r="A946" s="1" t="s">
        <v>946</v>
      </c>
      <c r="B946" t="str">
        <f>HYPERLINK("https://www.suredividend.com/sure-analysis-JJSF/","J&amp;J Snack Foods Corp.")</f>
        <v>J&amp;J Snack Foods Corp.</v>
      </c>
      <c r="C946">
        <v>-0.102874059454792</v>
      </c>
      <c r="D946">
        <v>-0.13472137207278401</v>
      </c>
      <c r="E946">
        <v>-9.603494552656601E-2</v>
      </c>
      <c r="F946">
        <v>-0.12971161900203401</v>
      </c>
      <c r="G946">
        <v>5.3019449658706003E-2</v>
      </c>
      <c r="H946">
        <v>-3.4282762750640003E-2</v>
      </c>
      <c r="I946">
        <v>2.0071123067029E-2</v>
      </c>
    </row>
    <row r="947" spans="1:9" x14ac:dyDescent="0.2">
      <c r="A947" s="1" t="s">
        <v>947</v>
      </c>
      <c r="B947" t="str">
        <f>HYPERLINK("https://www.suredividend.com/sure-analysis-research-database/","John Marshall Bancorp Inc")</f>
        <v>John Marshall Bancorp Inc</v>
      </c>
      <c r="C947">
        <v>-0.127722772277227</v>
      </c>
      <c r="D947">
        <v>-8.0375782881002E-2</v>
      </c>
      <c r="E947">
        <v>-2.2650056625139999E-3</v>
      </c>
      <c r="F947">
        <v>-0.21897163120567301</v>
      </c>
      <c r="G947">
        <v>-0.328490742928573</v>
      </c>
      <c r="H947">
        <v>-0.19128682697117999</v>
      </c>
      <c r="I947">
        <v>-0.19128682697117999</v>
      </c>
    </row>
    <row r="948" spans="1:9" x14ac:dyDescent="0.2">
      <c r="A948" s="1" t="s">
        <v>948</v>
      </c>
      <c r="B948" t="str">
        <f>HYPERLINK("https://www.suredividend.com/sure-analysis-research-database/","Joby Aviation Inc")</f>
        <v>Joby Aviation Inc</v>
      </c>
      <c r="C948">
        <v>0.103019538188277</v>
      </c>
      <c r="D948">
        <v>9.7560975609750009E-3</v>
      </c>
      <c r="E948">
        <v>-0.12780898876404501</v>
      </c>
      <c r="F948">
        <v>-6.6165413533834011E-2</v>
      </c>
      <c r="G948">
        <v>0.39550561797752798</v>
      </c>
      <c r="H948">
        <v>0.30462184873949499</v>
      </c>
      <c r="I948">
        <v>-0.40857142857142797</v>
      </c>
    </row>
    <row r="949" spans="1:9" x14ac:dyDescent="0.2">
      <c r="A949" s="1" t="s">
        <v>949</v>
      </c>
      <c r="B949" t="str">
        <f>HYPERLINK("https://www.suredividend.com/sure-analysis-research-database/","St. Joe Co.")</f>
        <v>St. Joe Co.</v>
      </c>
      <c r="C949">
        <v>-3.9546018797658997E-2</v>
      </c>
      <c r="D949">
        <v>2.0154454699566001E-2</v>
      </c>
      <c r="E949">
        <v>-7.3987002306483002E-2</v>
      </c>
      <c r="F949">
        <v>-0.10003323363243601</v>
      </c>
      <c r="G949">
        <v>0.19434582221536101</v>
      </c>
      <c r="H949">
        <v>0.19315653350135001</v>
      </c>
      <c r="I949">
        <v>2.4715723351067238</v>
      </c>
    </row>
    <row r="950" spans="1:9" x14ac:dyDescent="0.2">
      <c r="A950" s="1" t="s">
        <v>950</v>
      </c>
      <c r="B950" t="str">
        <f>HYPERLINK("https://www.suredividend.com/sure-analysis-research-database/","Johnson Outdoors Inc")</f>
        <v>Johnson Outdoors Inc</v>
      </c>
      <c r="C950">
        <v>-4.5001061345786013E-2</v>
      </c>
      <c r="D950">
        <v>-0.13197827533980899</v>
      </c>
      <c r="E950">
        <v>-0.20625259127918699</v>
      </c>
      <c r="F950">
        <v>-0.146113478273247</v>
      </c>
      <c r="G950">
        <v>-0.29376823856474299</v>
      </c>
      <c r="H950">
        <v>-0.41328666404108411</v>
      </c>
      <c r="I950">
        <v>-0.25112397984576301</v>
      </c>
    </row>
    <row r="951" spans="1:9" x14ac:dyDescent="0.2">
      <c r="A951" s="1" t="s">
        <v>951</v>
      </c>
      <c r="B951" t="str">
        <f>HYPERLINK("https://www.suredividend.com/sure-analysis-research-database/","James River Group Holdings Ltd")</f>
        <v>James River Group Holdings Ltd</v>
      </c>
      <c r="C951">
        <v>0.25727590221187402</v>
      </c>
      <c r="D951">
        <v>0.20837808807733599</v>
      </c>
      <c r="E951">
        <v>-0.27856675261519498</v>
      </c>
      <c r="F951">
        <v>0.168831168831168</v>
      </c>
      <c r="G951">
        <v>-0.51276949937066008</v>
      </c>
      <c r="H951">
        <v>-0.58548904616423803</v>
      </c>
      <c r="I951">
        <v>-0.70887290685011206</v>
      </c>
    </row>
    <row r="952" spans="1:9" x14ac:dyDescent="0.2">
      <c r="A952" s="1" t="s">
        <v>952</v>
      </c>
      <c r="B952" t="str">
        <f>HYPERLINK("https://www.suredividend.com/sure-analysis-JXN/","Jackson Financial Inc")</f>
        <v>Jackson Financial Inc</v>
      </c>
      <c r="C952">
        <v>3.5123132821962E-2</v>
      </c>
      <c r="D952">
        <v>0.129856366348435</v>
      </c>
      <c r="E952">
        <v>0.55134441782230903</v>
      </c>
      <c r="F952">
        <v>1.562499999999E-3</v>
      </c>
      <c r="G952">
        <v>0.114566964217792</v>
      </c>
      <c r="H952">
        <v>0.41213144278086311</v>
      </c>
      <c r="I952">
        <v>0.63052464228934801</v>
      </c>
    </row>
    <row r="953" spans="1:9" x14ac:dyDescent="0.2">
      <c r="A953" s="1" t="s">
        <v>953</v>
      </c>
      <c r="B953" t="str">
        <f>HYPERLINK("https://www.suredividend.com/sure-analysis-research-database/","Joint Corp")</f>
        <v>Joint Corp</v>
      </c>
      <c r="C953">
        <v>0.138274336283185</v>
      </c>
      <c r="D953">
        <v>0.16534541336353301</v>
      </c>
      <c r="E953">
        <v>9.7276264591400008E-4</v>
      </c>
      <c r="F953">
        <v>7.0759625390218003E-2</v>
      </c>
      <c r="G953">
        <v>-0.355263157894736</v>
      </c>
      <c r="H953">
        <v>-0.78866296980899508</v>
      </c>
      <c r="I953">
        <v>-4.8983364140479997E-2</v>
      </c>
    </row>
    <row r="954" spans="1:9" x14ac:dyDescent="0.2">
      <c r="A954" s="1" t="s">
        <v>954</v>
      </c>
      <c r="B954" t="str">
        <f>HYPERLINK("https://www.suredividend.com/sure-analysis-research-database/","Kadant, Inc.")</f>
        <v>Kadant, Inc.</v>
      </c>
      <c r="C954">
        <v>0.174810150027783</v>
      </c>
      <c r="D954">
        <v>0.22539568217453801</v>
      </c>
      <c r="E954">
        <v>0.49788640925729111</v>
      </c>
      <c r="F954">
        <v>0.13258703678175801</v>
      </c>
      <c r="G954">
        <v>0.45866152144366701</v>
      </c>
      <c r="H954">
        <v>0.60855026072878204</v>
      </c>
      <c r="I954">
        <v>2.6714389739327129</v>
      </c>
    </row>
    <row r="955" spans="1:9" x14ac:dyDescent="0.2">
      <c r="A955" s="1" t="s">
        <v>955</v>
      </c>
      <c r="B955" t="str">
        <f>HYPERLINK("https://www.suredividend.com/sure-analysis-KALU/","Kaiser Aluminum Corp")</f>
        <v>Kaiser Aluminum Corp</v>
      </c>
      <c r="C955">
        <v>7.5196746128016009E-2</v>
      </c>
      <c r="D955">
        <v>0.107569090452879</v>
      </c>
      <c r="E955">
        <v>-9.7454841865909012E-2</v>
      </c>
      <c r="F955">
        <v>-5.4388817720037001E-2</v>
      </c>
      <c r="G955">
        <v>-0.189792144790315</v>
      </c>
      <c r="H955">
        <v>-0.28749712918867598</v>
      </c>
      <c r="I955">
        <v>-0.26221904141197999</v>
      </c>
    </row>
    <row r="956" spans="1:9" x14ac:dyDescent="0.2">
      <c r="A956" s="1" t="s">
        <v>956</v>
      </c>
      <c r="B956" t="str">
        <f>HYPERLINK("https://www.suredividend.com/sure-analysis-research-database/","KalVista Pharmaceuticals Inc")</f>
        <v>KalVista Pharmaceuticals Inc</v>
      </c>
      <c r="C956">
        <v>0.112006446414182</v>
      </c>
      <c r="D956">
        <v>0.68087697929354407</v>
      </c>
      <c r="E956">
        <v>0.28014842300556603</v>
      </c>
      <c r="F956">
        <v>0.12653061224489701</v>
      </c>
      <c r="G956">
        <v>0.69950738916256106</v>
      </c>
      <c r="H956">
        <v>-0.112540192926045</v>
      </c>
      <c r="I956">
        <v>-0.309999999999999</v>
      </c>
    </row>
    <row r="957" spans="1:9" x14ac:dyDescent="0.2">
      <c r="A957" s="1" t="s">
        <v>957</v>
      </c>
      <c r="B957" t="str">
        <f>HYPERLINK("https://www.suredividend.com/sure-analysis-research-database/","Kaman Corp.")</f>
        <v>Kaman Corp.</v>
      </c>
      <c r="C957">
        <v>4.439511653718E-3</v>
      </c>
      <c r="D957">
        <v>1.2195299011144249</v>
      </c>
      <c r="E957">
        <v>1.136086406465378</v>
      </c>
      <c r="F957">
        <v>0.88935281837160707</v>
      </c>
      <c r="G957">
        <v>0.85942347599186308</v>
      </c>
      <c r="H957">
        <v>0.146062862497784</v>
      </c>
      <c r="I957">
        <v>-0.18960255602040199</v>
      </c>
    </row>
    <row r="958" spans="1:9" x14ac:dyDescent="0.2">
      <c r="A958" s="1" t="s">
        <v>958</v>
      </c>
      <c r="B958" t="str">
        <f>HYPERLINK("https://www.suredividend.com/sure-analysis-research-database/","Openlane Inc.")</f>
        <v>Openlane Inc.</v>
      </c>
      <c r="C958">
        <v>7.1174377224190004E-3</v>
      </c>
      <c r="D958">
        <v>-4.2625169147496013E-2</v>
      </c>
      <c r="E958">
        <v>-6.3534083388484E-2</v>
      </c>
      <c r="F958">
        <v>-4.4564483457123001E-2</v>
      </c>
      <c r="G958">
        <v>-2.7491408934707001E-2</v>
      </c>
      <c r="H958">
        <v>1.2884753042233001E-2</v>
      </c>
      <c r="I958">
        <v>-0.167774340394998</v>
      </c>
    </row>
    <row r="959" spans="1:9" x14ac:dyDescent="0.2">
      <c r="A959" s="1" t="s">
        <v>959</v>
      </c>
      <c r="B959" t="str">
        <f>HYPERLINK("https://www.suredividend.com/sure-analysis-research-database/","KB Home")</f>
        <v>KB Home</v>
      </c>
      <c r="C959">
        <v>9.266469906877E-3</v>
      </c>
      <c r="D959">
        <v>0.15871089890721601</v>
      </c>
      <c r="E959">
        <v>0.26608257345803299</v>
      </c>
      <c r="F959">
        <v>-8.9927999768670015E-3</v>
      </c>
      <c r="G959">
        <v>0.75492496977455303</v>
      </c>
      <c r="H959">
        <v>0.68083483188927008</v>
      </c>
      <c r="I959">
        <v>1.881283102762183</v>
      </c>
    </row>
    <row r="960" spans="1:9" x14ac:dyDescent="0.2">
      <c r="A960" s="1" t="s">
        <v>960</v>
      </c>
      <c r="B960" t="str">
        <f>HYPERLINK("https://www.suredividend.com/sure-analysis-research-database/","Kimball Electronics Inc")</f>
        <v>Kimball Electronics Inc</v>
      </c>
      <c r="C960">
        <v>-6.6216786166174005E-2</v>
      </c>
      <c r="D960">
        <v>-0.13074204946996401</v>
      </c>
      <c r="E960">
        <v>-0.203023758099352</v>
      </c>
      <c r="F960">
        <v>-0.178478664192949</v>
      </c>
      <c r="G960">
        <v>-0.150747986191024</v>
      </c>
      <c r="H960">
        <v>0.23549107142857101</v>
      </c>
      <c r="I960">
        <v>0.35911602209944699</v>
      </c>
    </row>
    <row r="961" spans="1:9" x14ac:dyDescent="0.2">
      <c r="A961" s="1" t="s">
        <v>961</v>
      </c>
      <c r="B961" t="str">
        <f>HYPERLINK("https://www.suredividend.com/sure-analysis-research-database/","Kelly Services, Inc.")</f>
        <v>Kelly Services, Inc.</v>
      </c>
      <c r="C961">
        <v>0.15479115479115399</v>
      </c>
      <c r="D961">
        <v>0.129253923556717</v>
      </c>
      <c r="E961">
        <v>0.33940530404500302</v>
      </c>
      <c r="F961">
        <v>8.6956521739130002E-2</v>
      </c>
      <c r="G961">
        <v>0.42927520542029801</v>
      </c>
      <c r="H961">
        <v>0.12884166434493499</v>
      </c>
      <c r="I961">
        <v>-1.027628032345E-2</v>
      </c>
    </row>
    <row r="962" spans="1:9" x14ac:dyDescent="0.2">
      <c r="A962" s="1" t="s">
        <v>962</v>
      </c>
      <c r="B962" t="str">
        <f>HYPERLINK("https://www.suredividend.com/sure-analysis-research-database/","Kforce Inc.")</f>
        <v>Kforce Inc.</v>
      </c>
      <c r="C962">
        <v>2.3580654851306001E-2</v>
      </c>
      <c r="D962">
        <v>3.8219898478394E-2</v>
      </c>
      <c r="E962">
        <v>0.17285246669030099</v>
      </c>
      <c r="F962">
        <v>8.7329780935460014E-3</v>
      </c>
      <c r="G962">
        <v>0.12689703980765801</v>
      </c>
      <c r="H962">
        <v>2.1733003100431001E-2</v>
      </c>
      <c r="I962">
        <v>0.98690363736020204</v>
      </c>
    </row>
    <row r="963" spans="1:9" x14ac:dyDescent="0.2">
      <c r="A963" s="1" t="s">
        <v>963</v>
      </c>
      <c r="B963" t="str">
        <f>HYPERLINK("https://www.suredividend.com/sure-analysis-research-database/","Kingsway Financial Services Inc.")</f>
        <v>Kingsway Financial Services Inc.</v>
      </c>
      <c r="C963">
        <v>4.2475728155339003E-2</v>
      </c>
      <c r="D963">
        <v>0.21156558533145201</v>
      </c>
      <c r="E963">
        <v>1.1655011655010001E-3</v>
      </c>
      <c r="F963">
        <v>2.2619047619047001E-2</v>
      </c>
      <c r="G963">
        <v>-5.8114035087719007E-2</v>
      </c>
      <c r="H963">
        <v>0.642447418738049</v>
      </c>
      <c r="I963">
        <v>2.3201917130488559</v>
      </c>
    </row>
    <row r="964" spans="1:9" x14ac:dyDescent="0.2">
      <c r="A964" s="1" t="s">
        <v>964</v>
      </c>
      <c r="B964" t="str">
        <f>HYPERLINK("https://www.suredividend.com/sure-analysis-research-database/","Korn Ferry")</f>
        <v>Korn Ferry</v>
      </c>
      <c r="C964">
        <v>4.4002838892831013E-2</v>
      </c>
      <c r="D964">
        <v>0.14867806364582201</v>
      </c>
      <c r="E964">
        <v>0.151181604571857</v>
      </c>
      <c r="F964">
        <v>-8.5930918281380015E-3</v>
      </c>
      <c r="G964">
        <v>4.1391967972418002E-2</v>
      </c>
      <c r="H964">
        <v>-8.5460626935080011E-2</v>
      </c>
      <c r="I964">
        <v>0.28127796807257299</v>
      </c>
    </row>
    <row r="965" spans="1:9" x14ac:dyDescent="0.2">
      <c r="A965" s="1" t="s">
        <v>965</v>
      </c>
      <c r="B965" t="str">
        <f>HYPERLINK("https://www.suredividend.com/sure-analysis-research-database/","Kodiak Gas Services Inc")</f>
        <v>Kodiak Gas Services Inc</v>
      </c>
      <c r="C965">
        <v>0.16325392399012001</v>
      </c>
      <c r="D965">
        <v>0.368382750217772</v>
      </c>
      <c r="E965">
        <v>0.35026330678504602</v>
      </c>
      <c r="F965">
        <v>0.25593939915292402</v>
      </c>
      <c r="G965">
        <v>0.64267513815811206</v>
      </c>
      <c r="H965">
        <v>0.64267513815811206</v>
      </c>
      <c r="I965">
        <v>0.64267513815811206</v>
      </c>
    </row>
    <row r="966" spans="1:9" x14ac:dyDescent="0.2">
      <c r="A966" s="1" t="s">
        <v>966</v>
      </c>
      <c r="B966" t="str">
        <f>HYPERLINK("https://www.suredividend.com/sure-analysis-research-database/","OrthoPediatrics corp")</f>
        <v>OrthoPediatrics corp</v>
      </c>
      <c r="C966">
        <v>-1.733703190013E-3</v>
      </c>
      <c r="D966">
        <v>-9.5791457286432014E-2</v>
      </c>
      <c r="E966">
        <v>-0.25065070275897899</v>
      </c>
      <c r="F966">
        <v>-0.114426330359889</v>
      </c>
      <c r="G966">
        <v>-0.35779611867053301</v>
      </c>
      <c r="H966">
        <v>-0.41720647773279301</v>
      </c>
      <c r="I966">
        <v>-0.24376149198844199</v>
      </c>
    </row>
    <row r="967" spans="1:9" x14ac:dyDescent="0.2">
      <c r="A967" s="1" t="s">
        <v>967</v>
      </c>
      <c r="B967" t="str">
        <f>HYPERLINK("https://www.suredividend.com/sure-analysis-research-database/","Nextdoor Holdings Inc")</f>
        <v>Nextdoor Holdings Inc</v>
      </c>
      <c r="C967">
        <v>8.8050314465408008E-2</v>
      </c>
      <c r="D967">
        <v>5.4878048780487007E-2</v>
      </c>
      <c r="E967">
        <v>-0.19534883720930199</v>
      </c>
      <c r="F967">
        <v>-8.4656084656084013E-2</v>
      </c>
      <c r="G967">
        <v>-0.22767857142857101</v>
      </c>
      <c r="H967">
        <v>-0.71452145214521401</v>
      </c>
      <c r="I967">
        <v>-0.82700000000000007</v>
      </c>
    </row>
    <row r="968" spans="1:9" x14ac:dyDescent="0.2">
      <c r="A968" s="1" t="s">
        <v>968</v>
      </c>
      <c r="B968" t="str">
        <f>HYPERLINK("https://www.suredividend.com/sure-analysis-KLIC/","Kulicke &amp; Soffa Industries, Inc.")</f>
        <v>Kulicke &amp; Soffa Industries, Inc.</v>
      </c>
      <c r="C968">
        <v>-9.279312920089601E-2</v>
      </c>
      <c r="D968">
        <v>-4.1036682961871997E-2</v>
      </c>
      <c r="E968">
        <v>-1.9172463352698E-2</v>
      </c>
      <c r="F968">
        <v>-0.112024853801169</v>
      </c>
      <c r="G968">
        <v>-7.2603733251898006E-2</v>
      </c>
      <c r="H968">
        <v>-3.8743066051546003E-2</v>
      </c>
      <c r="I968">
        <v>1.25076662250674</v>
      </c>
    </row>
    <row r="969" spans="1:9" x14ac:dyDescent="0.2">
      <c r="A969" s="1" t="s">
        <v>969</v>
      </c>
      <c r="B969" t="str">
        <f>HYPERLINK("https://www.suredividend.com/sure-analysis-research-database/","Kaltura Inc")</f>
        <v>Kaltura Inc</v>
      </c>
      <c r="C969">
        <v>-0.17877094972067001</v>
      </c>
      <c r="D969">
        <v>-0.174157303370786</v>
      </c>
      <c r="E969">
        <v>-0.246153846153846</v>
      </c>
      <c r="F969">
        <v>-0.246153846153846</v>
      </c>
      <c r="G969">
        <v>-0.28292682926829199</v>
      </c>
      <c r="H969">
        <v>-0.52272727272727204</v>
      </c>
      <c r="I969">
        <v>-0.87750000000000006</v>
      </c>
    </row>
    <row r="970" spans="1:9" x14ac:dyDescent="0.2">
      <c r="A970" s="1" t="s">
        <v>970</v>
      </c>
      <c r="B970" t="str">
        <f>HYPERLINK("https://www.suredividend.com/sure-analysis-research-database/","KLX Energy Services Holdings Inc")</f>
        <v>KLX Energy Services Holdings Inc</v>
      </c>
      <c r="C970">
        <v>-6.7608476286579011E-2</v>
      </c>
      <c r="D970">
        <v>-6.0020345879958997E-2</v>
      </c>
      <c r="E970">
        <v>-0.12912346842601299</v>
      </c>
      <c r="F970">
        <v>-0.179396092362344</v>
      </c>
      <c r="G970">
        <v>-0.27244094488188902</v>
      </c>
      <c r="H970">
        <v>0.51724137931034508</v>
      </c>
      <c r="I970">
        <v>-0.93744075829383811</v>
      </c>
    </row>
    <row r="971" spans="1:9" x14ac:dyDescent="0.2">
      <c r="A971" s="1" t="s">
        <v>971</v>
      </c>
      <c r="B971" t="str">
        <f>HYPERLINK("https://www.suredividend.com/sure-analysis-research-database/","Kennametal Inc.")</f>
        <v>Kennametal Inc.</v>
      </c>
      <c r="C971">
        <v>-1.1502368617663E-2</v>
      </c>
      <c r="D971">
        <v>3.0455788397100999E-2</v>
      </c>
      <c r="E971">
        <v>-7.3372148060353012E-2</v>
      </c>
      <c r="F971">
        <v>-5.8646922228911012E-2</v>
      </c>
      <c r="G971">
        <v>-0.14178080482997699</v>
      </c>
      <c r="H971">
        <v>-0.23247815845756101</v>
      </c>
      <c r="I971">
        <v>-0.27772495358303001</v>
      </c>
    </row>
    <row r="972" spans="1:9" x14ac:dyDescent="0.2">
      <c r="A972" s="1" t="s">
        <v>972</v>
      </c>
      <c r="B972" t="str">
        <f>HYPERLINK("https://www.suredividend.com/sure-analysis-research-database/","Knowles Corp")</f>
        <v>Knowles Corp</v>
      </c>
      <c r="C972">
        <v>-5.3444180522560008E-3</v>
      </c>
      <c r="D972">
        <v>2.1964612568638998E-2</v>
      </c>
      <c r="E972">
        <v>1.5767131594906E-2</v>
      </c>
      <c r="F972">
        <v>-6.4768285873813003E-2</v>
      </c>
      <c r="G972">
        <v>-4.4495151169423E-2</v>
      </c>
      <c r="H972">
        <v>-0.23165137614678899</v>
      </c>
      <c r="I972">
        <v>3.0135301353013001E-2</v>
      </c>
    </row>
    <row r="973" spans="1:9" x14ac:dyDescent="0.2">
      <c r="A973" s="1" t="s">
        <v>973</v>
      </c>
      <c r="B973" t="str">
        <f>HYPERLINK("https://www.suredividend.com/sure-analysis-research-database/","Knife River Corp")</f>
        <v>Knife River Corp</v>
      </c>
      <c r="C973">
        <v>7.9412224480225002E-2</v>
      </c>
      <c r="D973">
        <v>0.20716783216783199</v>
      </c>
      <c r="E973">
        <v>0.42165946057236903</v>
      </c>
      <c r="F973">
        <v>4.3366576004834997E-2</v>
      </c>
      <c r="G973">
        <v>0.75253807106598902</v>
      </c>
      <c r="H973">
        <v>0.75253807106598902</v>
      </c>
      <c r="I973">
        <v>0.75253807106598902</v>
      </c>
    </row>
    <row r="974" spans="1:9" x14ac:dyDescent="0.2">
      <c r="A974" s="1" t="s">
        <v>974</v>
      </c>
      <c r="B974" t="str">
        <f>HYPERLINK("https://www.suredividend.com/sure-analysis-research-database/","Kiniksa Pharmaceuticals Ltd")</f>
        <v>Kiniksa Pharmaceuticals Ltd</v>
      </c>
      <c r="C974">
        <v>5.5084745762711003E-2</v>
      </c>
      <c r="D974">
        <v>0.25757575757575701</v>
      </c>
      <c r="E974">
        <v>0.184304399524375</v>
      </c>
      <c r="F974">
        <v>0.13568985176738901</v>
      </c>
      <c r="G974">
        <v>0.401829697396199</v>
      </c>
      <c r="H974">
        <v>0.85820895522388008</v>
      </c>
      <c r="I974">
        <v>0.12542372881355901</v>
      </c>
    </row>
    <row r="975" spans="1:9" x14ac:dyDescent="0.2">
      <c r="A975" s="1" t="s">
        <v>975</v>
      </c>
      <c r="B975" t="str">
        <f>HYPERLINK("https://www.suredividend.com/sure-analysis-research-database/","Kinetik Holdings Inc")</f>
        <v>Kinetik Holdings Inc</v>
      </c>
      <c r="C975">
        <v>4.8146570089475003E-2</v>
      </c>
      <c r="D975">
        <v>-4.1220862756872013E-2</v>
      </c>
      <c r="E975">
        <v>-1.327810939213E-2</v>
      </c>
      <c r="F975">
        <v>1.6765455079846999E-2</v>
      </c>
      <c r="G975">
        <v>0.257973605660691</v>
      </c>
      <c r="H975">
        <v>-0.49459747374828711</v>
      </c>
      <c r="I975">
        <v>-0.77706756242410302</v>
      </c>
    </row>
    <row r="976" spans="1:9" x14ac:dyDescent="0.2">
      <c r="A976" s="1" t="s">
        <v>976</v>
      </c>
      <c r="B976" t="str">
        <f>HYPERLINK("https://www.suredividend.com/sure-analysis-research-database/","Kodiak Sciences Inc")</f>
        <v>Kodiak Sciences Inc</v>
      </c>
      <c r="C976">
        <v>0.73397435897435903</v>
      </c>
      <c r="D976">
        <v>1.2263374485596701</v>
      </c>
      <c r="E976">
        <v>1.1726907630522081</v>
      </c>
      <c r="F976">
        <v>0.77960526315789402</v>
      </c>
      <c r="G976">
        <v>-0.27088948787061901</v>
      </c>
      <c r="H976">
        <v>-0.89712873169804108</v>
      </c>
      <c r="I976">
        <v>-0.22714285714285701</v>
      </c>
    </row>
    <row r="977" spans="1:9" x14ac:dyDescent="0.2">
      <c r="A977" s="1" t="s">
        <v>977</v>
      </c>
      <c r="B977" t="str">
        <f>HYPERLINK("https://www.suredividend.com/sure-analysis-research-database/","Eastman Kodak Co.")</f>
        <v>Eastman Kodak Co.</v>
      </c>
      <c r="C977">
        <v>-1.4245014245014001E-2</v>
      </c>
      <c r="D977">
        <v>-7.486631016042701E-2</v>
      </c>
      <c r="E977">
        <v>-0.27463312368972698</v>
      </c>
      <c r="F977">
        <v>-0.112820512820512</v>
      </c>
      <c r="G977">
        <v>-5.9782608695652002E-2</v>
      </c>
      <c r="H977">
        <v>-0.255913978494623</v>
      </c>
      <c r="I977">
        <v>0.14191419141914099</v>
      </c>
    </row>
    <row r="978" spans="1:9" x14ac:dyDescent="0.2">
      <c r="A978" s="1" t="s">
        <v>978</v>
      </c>
      <c r="B978" t="str">
        <f>HYPERLINK("https://www.suredividend.com/sure-analysis-research-database/","Koppers Holdings Inc")</f>
        <v>Koppers Holdings Inc</v>
      </c>
      <c r="C978">
        <v>9.6657269432130002E-3</v>
      </c>
      <c r="D978">
        <v>0.16254266211603999</v>
      </c>
      <c r="E978">
        <v>0.285222504466494</v>
      </c>
      <c r="F978">
        <v>-2.1085513471299999E-2</v>
      </c>
      <c r="G978">
        <v>0.45496120296911902</v>
      </c>
      <c r="H978">
        <v>0.710859899887057</v>
      </c>
      <c r="I978">
        <v>1.005792556085384</v>
      </c>
    </row>
    <row r="979" spans="1:9" x14ac:dyDescent="0.2">
      <c r="A979" s="1" t="s">
        <v>979</v>
      </c>
      <c r="B979" t="str">
        <f>HYPERLINK("https://www.suredividend.com/sure-analysis-research-database/","Kosmos Energy Ltd")</f>
        <v>Kosmos Energy Ltd</v>
      </c>
      <c r="C979">
        <v>-9.5911949685534001E-2</v>
      </c>
      <c r="D979">
        <v>-0.179743223965763</v>
      </c>
      <c r="E979">
        <v>-0.225067385444743</v>
      </c>
      <c r="F979">
        <v>-0.143070044709389</v>
      </c>
      <c r="G979">
        <v>-0.233333333333333</v>
      </c>
      <c r="H979">
        <v>0.34345794392523299</v>
      </c>
      <c r="I979">
        <v>2.7556381571893E-2</v>
      </c>
    </row>
    <row r="980" spans="1:9" x14ac:dyDescent="0.2">
      <c r="A980" s="1" t="s">
        <v>980</v>
      </c>
      <c r="B980" t="str">
        <f>HYPERLINK("https://www.suredividend.com/sure-analysis-research-database/","Karyopharm Therapeutics Inc")</f>
        <v>Karyopharm Therapeutics Inc</v>
      </c>
      <c r="C980">
        <v>0.57963446475195801</v>
      </c>
      <c r="D980">
        <v>0.53728878160335403</v>
      </c>
      <c r="E980">
        <v>-0.27108433734939702</v>
      </c>
      <c r="F980">
        <v>0.39884393063583801</v>
      </c>
      <c r="G980">
        <v>-0.65915492957746402</v>
      </c>
      <c r="H980">
        <v>-0.91585535465924806</v>
      </c>
      <c r="I980">
        <v>-0.87031082529474801</v>
      </c>
    </row>
    <row r="981" spans="1:9" x14ac:dyDescent="0.2">
      <c r="A981" s="1" t="s">
        <v>981</v>
      </c>
      <c r="B981" t="str">
        <f>HYPERLINK("https://www.suredividend.com/sure-analysis-KREF/","KKR Real Estate Finance Trust Inc")</f>
        <v>KKR Real Estate Finance Trust Inc</v>
      </c>
      <c r="C981">
        <v>-0.26458832933652998</v>
      </c>
      <c r="D981">
        <v>-0.22888657927381201</v>
      </c>
      <c r="E981">
        <v>-0.13964819092328801</v>
      </c>
      <c r="F981">
        <v>-0.30461073318216098</v>
      </c>
      <c r="G981">
        <v>-0.302438432609486</v>
      </c>
      <c r="H981">
        <v>-0.44599338805152211</v>
      </c>
      <c r="I981">
        <v>-0.24044780555463799</v>
      </c>
    </row>
    <row r="982" spans="1:9" x14ac:dyDescent="0.2">
      <c r="A982" s="1" t="s">
        <v>982</v>
      </c>
      <c r="B982" t="str">
        <f>HYPERLINK("https://www.suredividend.com/sure-analysis-KRG/","Kite Realty Group Trust")</f>
        <v>Kite Realty Group Trust</v>
      </c>
      <c r="C982">
        <v>-1.2529002320184999E-2</v>
      </c>
      <c r="D982">
        <v>4.1610580570634013E-2</v>
      </c>
      <c r="E982">
        <v>-1.213018712891E-2</v>
      </c>
      <c r="F982">
        <v>-5.8632008281207001E-2</v>
      </c>
      <c r="G982">
        <v>-8.8126245970970001E-3</v>
      </c>
      <c r="H982">
        <v>6.7554958010173E-2</v>
      </c>
      <c r="I982">
        <v>0.68694756034721904</v>
      </c>
    </row>
    <row r="983" spans="1:9" x14ac:dyDescent="0.2">
      <c r="A983" s="1" t="s">
        <v>983</v>
      </c>
      <c r="B983" t="str">
        <f>HYPERLINK("https://www.suredividend.com/sure-analysis-research-database/","KORU Medical Systems Inc")</f>
        <v>KORU Medical Systems Inc</v>
      </c>
      <c r="C983">
        <v>1.9323671497583999E-2</v>
      </c>
      <c r="D983">
        <v>-7.456140350877101E-2</v>
      </c>
      <c r="E983">
        <v>-0.17578125</v>
      </c>
      <c r="F983">
        <v>-0.14052953156822801</v>
      </c>
      <c r="G983">
        <v>-0.49156626506024098</v>
      </c>
      <c r="H983">
        <v>-0.332278481012658</v>
      </c>
      <c r="I983">
        <v>5.4329268292682924</v>
      </c>
    </row>
    <row r="984" spans="1:9" x14ac:dyDescent="0.2">
      <c r="A984" s="1" t="s">
        <v>984</v>
      </c>
      <c r="B984" t="str">
        <f>HYPERLINK("https://www.suredividend.com/sure-analysis-research-database/","Kearny Financial Corp.")</f>
        <v>Kearny Financial Corp.</v>
      </c>
      <c r="C984">
        <v>-0.16616435603777299</v>
      </c>
      <c r="D984">
        <v>-0.151481074449868</v>
      </c>
      <c r="E984">
        <v>-0.13195806207022701</v>
      </c>
      <c r="F984">
        <v>-0.24796701927650799</v>
      </c>
      <c r="G984">
        <v>-0.276617533309365</v>
      </c>
      <c r="H984">
        <v>-0.42668174792992403</v>
      </c>
      <c r="I984">
        <v>-0.38484913054353698</v>
      </c>
    </row>
    <row r="985" spans="1:9" x14ac:dyDescent="0.2">
      <c r="A985" s="1" t="s">
        <v>985</v>
      </c>
      <c r="B985" t="str">
        <f>HYPERLINK("https://www.suredividend.com/sure-analysis-KRO/","Kronos Worldwide, Inc.")</f>
        <v>Kronos Worldwide, Inc.</v>
      </c>
      <c r="C985">
        <v>-5.0335570469798002E-2</v>
      </c>
      <c r="D985">
        <v>2.3372428008340999E-2</v>
      </c>
      <c r="E985">
        <v>3.5530023052435002E-2</v>
      </c>
      <c r="F985">
        <v>-0.145875251509054</v>
      </c>
      <c r="G985">
        <v>-0.170882243793824</v>
      </c>
      <c r="H985">
        <v>-0.316105749867087</v>
      </c>
      <c r="I985">
        <v>-0.25331128740039699</v>
      </c>
    </row>
    <row r="986" spans="1:9" x14ac:dyDescent="0.2">
      <c r="A986" s="1" t="s">
        <v>986</v>
      </c>
      <c r="B986" t="str">
        <f>HYPERLINK("https://www.suredividend.com/sure-analysis-research-database/","Keros Therapeutics Inc")</f>
        <v>Keros Therapeutics Inc</v>
      </c>
      <c r="C986">
        <v>0.14768649669499501</v>
      </c>
      <c r="D986">
        <v>1.0256666666666669</v>
      </c>
      <c r="E986">
        <v>0.77690058479532109</v>
      </c>
      <c r="F986">
        <v>0.52842052313883303</v>
      </c>
      <c r="G986">
        <v>0.10511002000363701</v>
      </c>
      <c r="H986">
        <v>0.166634670762142</v>
      </c>
      <c r="I986">
        <v>2.0263944223107568</v>
      </c>
    </row>
    <row r="987" spans="1:9" x14ac:dyDescent="0.2">
      <c r="A987" s="1" t="s">
        <v>987</v>
      </c>
      <c r="B987" t="str">
        <f>HYPERLINK("https://www.suredividend.com/sure-analysis-research-database/","Karat Packaging Inc")</f>
        <v>Karat Packaging Inc</v>
      </c>
      <c r="C987">
        <v>0.19290717812184899</v>
      </c>
      <c r="D987">
        <v>0.31552692340583199</v>
      </c>
      <c r="E987">
        <v>0.20986241037449299</v>
      </c>
      <c r="F987">
        <v>0.138180637364715</v>
      </c>
      <c r="G987">
        <v>0.93403738161092908</v>
      </c>
      <c r="H987">
        <v>0.85084922496942006</v>
      </c>
      <c r="I987">
        <v>0.68331337349617305</v>
      </c>
    </row>
    <row r="988" spans="1:9" x14ac:dyDescent="0.2">
      <c r="A988" s="1" t="s">
        <v>988</v>
      </c>
      <c r="B988" t="str">
        <f>HYPERLINK("https://www.suredividend.com/sure-analysis-research-database/","Kura Sushi USA Inc")</f>
        <v>Kura Sushi USA Inc</v>
      </c>
      <c r="C988">
        <v>7.9523080288776013E-2</v>
      </c>
      <c r="D988">
        <v>0.58997905590462307</v>
      </c>
      <c r="E988">
        <v>0.13698156682027601</v>
      </c>
      <c r="F988">
        <v>0.29855263157894701</v>
      </c>
      <c r="G988">
        <v>0.60159039272963299</v>
      </c>
      <c r="H988">
        <v>0.92340674332488704</v>
      </c>
      <c r="I988">
        <v>4.0326364099949004</v>
      </c>
    </row>
    <row r="989" spans="1:9" x14ac:dyDescent="0.2">
      <c r="A989" s="1" t="s">
        <v>989</v>
      </c>
      <c r="B989" t="str">
        <f>HYPERLINK("https://www.suredividend.com/sure-analysis-research-database/","Krystal Biotech Inc")</f>
        <v>Krystal Biotech Inc</v>
      </c>
      <c r="C989">
        <v>-0.13093569982874001</v>
      </c>
      <c r="D989">
        <v>6.5470509639244001E-2</v>
      </c>
      <c r="E989">
        <v>-6.4991624790618999E-2</v>
      </c>
      <c r="F989">
        <v>-0.100112848621634</v>
      </c>
      <c r="G989">
        <v>0.42670926517571811</v>
      </c>
      <c r="H989">
        <v>0.83437397305290806</v>
      </c>
      <c r="I989">
        <v>3.9332744144940341</v>
      </c>
    </row>
    <row r="990" spans="1:9" x14ac:dyDescent="0.2">
      <c r="A990" s="1" t="s">
        <v>990</v>
      </c>
      <c r="B990" t="str">
        <f>HYPERLINK("https://www.suredividend.com/sure-analysis-KTB/","Kontoor Brands Inc")</f>
        <v>Kontoor Brands Inc</v>
      </c>
      <c r="C990">
        <v>7.0136518771330009E-2</v>
      </c>
      <c r="D990">
        <v>0.197624231312784</v>
      </c>
      <c r="E990">
        <v>0.29262455759919298</v>
      </c>
      <c r="F990">
        <v>4.6459468119190014E-3</v>
      </c>
      <c r="G990">
        <v>0.43193131479197999</v>
      </c>
      <c r="H990">
        <v>0.45673580605970499</v>
      </c>
      <c r="I990">
        <v>1.432505818463925</v>
      </c>
    </row>
    <row r="991" spans="1:9" x14ac:dyDescent="0.2">
      <c r="A991" s="1" t="s">
        <v>991</v>
      </c>
      <c r="B991" t="str">
        <f>HYPERLINK("https://www.suredividend.com/sure-analysis-research-database/","Kratos Defense &amp; Security Solutions Inc")</f>
        <v>Kratos Defense &amp; Security Solutions Inc</v>
      </c>
      <c r="C991">
        <v>0.117166212534059</v>
      </c>
      <c r="D991">
        <v>6.8821689259645005E-2</v>
      </c>
      <c r="E991">
        <v>0.35135135135135098</v>
      </c>
      <c r="F991">
        <v>1.0349926071956001E-2</v>
      </c>
      <c r="G991">
        <v>0.76876617773943001</v>
      </c>
      <c r="H991">
        <v>0.24544349939246601</v>
      </c>
      <c r="I991">
        <v>0.16147308781869599</v>
      </c>
    </row>
    <row r="992" spans="1:9" x14ac:dyDescent="0.2">
      <c r="A992" s="1" t="s">
        <v>992</v>
      </c>
      <c r="B992" t="str">
        <f>HYPERLINK("https://www.suredividend.com/sure-analysis-research-database/","Kura Oncology Inc")</f>
        <v>Kura Oncology Inc</v>
      </c>
      <c r="C992">
        <v>0.38053097345132703</v>
      </c>
      <c r="D992">
        <v>1.1235602094240831</v>
      </c>
      <c r="E992">
        <v>0.92775665399239504</v>
      </c>
      <c r="F992">
        <v>0.41029207232267001</v>
      </c>
      <c r="G992">
        <v>0.65281173594132003</v>
      </c>
      <c r="H992">
        <v>0.44444444444444398</v>
      </c>
      <c r="I992">
        <v>0.34750830564784002</v>
      </c>
    </row>
    <row r="993" spans="1:9" x14ac:dyDescent="0.2">
      <c r="A993" s="1" t="s">
        <v>993</v>
      </c>
      <c r="B993" t="str">
        <f>HYPERLINK("https://www.suredividend.com/sure-analysis-research-database/","KVH Industries, Inc.")</f>
        <v>KVH Industries, Inc.</v>
      </c>
      <c r="C993">
        <v>4.1237113402061001E-2</v>
      </c>
      <c r="D993">
        <v>2.6422764227642E-2</v>
      </c>
      <c r="E993">
        <v>-9.8214285714285005E-2</v>
      </c>
      <c r="F993">
        <v>-3.9923954372623013E-2</v>
      </c>
      <c r="G993">
        <v>-0.49449449449449412</v>
      </c>
      <c r="H993">
        <v>-0.40588235294117597</v>
      </c>
      <c r="I993">
        <v>-0.55779334500875599</v>
      </c>
    </row>
    <row r="994" spans="1:9" x14ac:dyDescent="0.2">
      <c r="A994" s="1" t="s">
        <v>994</v>
      </c>
      <c r="B994" t="str">
        <f>HYPERLINK("https://www.suredividend.com/sure-analysis-research-database/","Kennedy-Wilson Holdings Inc")</f>
        <v>Kennedy-Wilson Holdings Inc</v>
      </c>
      <c r="C994">
        <v>-9.1152815013404012E-2</v>
      </c>
      <c r="D994">
        <v>-0.106193368077832</v>
      </c>
      <c r="E994">
        <v>-0.31793031756145002</v>
      </c>
      <c r="F994">
        <v>-0.17851373182552499</v>
      </c>
      <c r="G994">
        <v>-0.38942021937645199</v>
      </c>
      <c r="H994">
        <v>-0.50858170010437209</v>
      </c>
      <c r="I994">
        <v>-0.38307926551855898</v>
      </c>
    </row>
    <row r="995" spans="1:9" x14ac:dyDescent="0.2">
      <c r="A995" s="1" t="s">
        <v>995</v>
      </c>
      <c r="B995" t="str">
        <f>HYPERLINK("https://www.suredividend.com/sure-analysis-KWR/","Quaker Houghton")</f>
        <v>Quaker Houghton</v>
      </c>
      <c r="C995">
        <v>3.8455622211967001E-2</v>
      </c>
      <c r="D995">
        <v>0.14580451566804001</v>
      </c>
      <c r="E995">
        <v>0.22727975106575701</v>
      </c>
      <c r="F995">
        <v>-4.8867357078853001E-2</v>
      </c>
      <c r="G995">
        <v>4.6240583974620003E-3</v>
      </c>
      <c r="H995">
        <v>-1.849631330477E-3</v>
      </c>
      <c r="I995">
        <v>-4.527867124892E-3</v>
      </c>
    </row>
    <row r="996" spans="1:9" x14ac:dyDescent="0.2">
      <c r="A996" s="1" t="s">
        <v>996</v>
      </c>
      <c r="B996" t="str">
        <f>HYPERLINK("https://www.suredividend.com/sure-analysis-research-database/","Kymera Therapeutics Inc")</f>
        <v>Kymera Therapeutics Inc</v>
      </c>
      <c r="C996">
        <v>0.38341214987268102</v>
      </c>
      <c r="D996">
        <v>0.82048827190043006</v>
      </c>
      <c r="E996">
        <v>0.92849898580121704</v>
      </c>
      <c r="F996">
        <v>0.49371563236449312</v>
      </c>
      <c r="G996">
        <v>0.12949212949212899</v>
      </c>
      <c r="H996">
        <v>-1.9845360824742E-2</v>
      </c>
      <c r="I996">
        <v>0.143415514131088</v>
      </c>
    </row>
    <row r="997" spans="1:9" x14ac:dyDescent="0.2">
      <c r="A997" s="1" t="s">
        <v>997</v>
      </c>
      <c r="B997" t="str">
        <f>HYPERLINK("https://www.suredividend.com/sure-analysis-research-database/","Kezar Life Sciences Inc")</f>
        <v>Kezar Life Sciences Inc</v>
      </c>
      <c r="C997">
        <v>-4.0963855421680007E-3</v>
      </c>
      <c r="D997">
        <v>-6.6094226641057005E-2</v>
      </c>
      <c r="E997">
        <v>-0.35922480620155001</v>
      </c>
      <c r="F997">
        <v>-0.127506860882415</v>
      </c>
      <c r="G997">
        <v>-0.87569924812030009</v>
      </c>
      <c r="H997">
        <v>-0.94231681786461907</v>
      </c>
      <c r="I997">
        <v>-0.96084320227380404</v>
      </c>
    </row>
    <row r="998" spans="1:9" x14ac:dyDescent="0.2">
      <c r="A998" s="1" t="s">
        <v>998</v>
      </c>
      <c r="B998" t="str">
        <f>HYPERLINK("https://www.suredividend.com/sure-analysis-LADR/","Ladder Capital Corp")</f>
        <v>Ladder Capital Corp</v>
      </c>
      <c r="C998">
        <v>-7.8740157480315001E-2</v>
      </c>
      <c r="D998">
        <v>-3.0939979017502998E-2</v>
      </c>
      <c r="E998">
        <v>6.2252216808400013E-2</v>
      </c>
      <c r="F998">
        <v>-8.514335360556001E-2</v>
      </c>
      <c r="G998">
        <v>-6.7724348695499996E-3</v>
      </c>
      <c r="H998">
        <v>6.2520180820148E-2</v>
      </c>
      <c r="I998">
        <v>-0.11284479417662199</v>
      </c>
    </row>
    <row r="999" spans="1:9" x14ac:dyDescent="0.2">
      <c r="A999" s="1" t="s">
        <v>999</v>
      </c>
      <c r="B999" t="str">
        <f>HYPERLINK("https://www.suredividend.com/sure-analysis-LANC/","Lancaster Colony Corp.")</f>
        <v>Lancaster Colony Corp.</v>
      </c>
      <c r="C999">
        <v>0.12786503781268099</v>
      </c>
      <c r="D999">
        <v>0.170541807263903</v>
      </c>
      <c r="E999">
        <v>8.2682112067761007E-2</v>
      </c>
      <c r="F999">
        <v>0.16521425566440201</v>
      </c>
      <c r="G999">
        <v>2.1585121994272E-2</v>
      </c>
      <c r="H999">
        <v>0.26609474291184798</v>
      </c>
      <c r="I999">
        <v>0.35273075369318202</v>
      </c>
    </row>
    <row r="1000" spans="1:9" x14ac:dyDescent="0.2">
      <c r="A1000" s="1" t="s">
        <v>1000</v>
      </c>
      <c r="B1000" t="str">
        <f>HYPERLINK("https://www.suredividend.com/sure-analysis-LAND/","Gladstone Land Corp")</f>
        <v>Gladstone Land Corp</v>
      </c>
      <c r="C1000">
        <v>1.0116036893781001E-2</v>
      </c>
      <c r="D1000">
        <v>-3.3782053106411997E-2</v>
      </c>
      <c r="E1000">
        <v>-8.7218368554067005E-2</v>
      </c>
      <c r="F1000">
        <v>-4.7204759766502007E-2</v>
      </c>
      <c r="G1000">
        <v>-0.224952201580914</v>
      </c>
      <c r="H1000">
        <v>-0.49829686934290912</v>
      </c>
      <c r="I1000">
        <v>0.36645837735583198</v>
      </c>
    </row>
    <row r="1001" spans="1:9" x14ac:dyDescent="0.2">
      <c r="A1001" s="1" t="s">
        <v>1001</v>
      </c>
      <c r="B1001" t="str">
        <f>HYPERLINK("https://www.suredividend.com/sure-analysis-research-database/","nLIGHT Inc")</f>
        <v>nLIGHT Inc</v>
      </c>
      <c r="C1001">
        <v>5.6402439024390003E-2</v>
      </c>
      <c r="D1001">
        <v>0.22114537444933899</v>
      </c>
      <c r="E1001">
        <v>0.256572982774252</v>
      </c>
      <c r="F1001">
        <v>2.6666666666665999E-2</v>
      </c>
      <c r="G1001">
        <v>2.6666666666665999E-2</v>
      </c>
      <c r="H1001">
        <v>-9.4709340300457009E-2</v>
      </c>
      <c r="I1001">
        <v>-0.36363636363636298</v>
      </c>
    </row>
    <row r="1002" spans="1:9" x14ac:dyDescent="0.2">
      <c r="A1002" s="1" t="s">
        <v>1002</v>
      </c>
      <c r="B1002" t="str">
        <f>HYPERLINK("https://www.suredividend.com/sure-analysis-research-database/","Laureate Education Inc")</f>
        <v>Laureate Education Inc</v>
      </c>
      <c r="C1002">
        <v>2.2816679779699998E-2</v>
      </c>
      <c r="D1002">
        <v>-1.5151515151514999E-2</v>
      </c>
      <c r="E1002">
        <v>1.4080112328874E-2</v>
      </c>
      <c r="F1002">
        <v>-5.1787016776075001E-2</v>
      </c>
      <c r="G1002">
        <v>0.34206016558957703</v>
      </c>
      <c r="H1002">
        <v>0.27167969323172902</v>
      </c>
      <c r="I1002">
        <v>0.43816445963736111</v>
      </c>
    </row>
    <row r="1003" spans="1:9" x14ac:dyDescent="0.2">
      <c r="A1003" s="1" t="s">
        <v>1003</v>
      </c>
      <c r="B1003" t="str">
        <f>HYPERLINK("https://www.suredividend.com/sure-analysis-research-database/","CS Disco Inc")</f>
        <v>CS Disco Inc</v>
      </c>
      <c r="C1003">
        <v>-6.4070351758792998E-2</v>
      </c>
      <c r="D1003">
        <v>0.260575296108291</v>
      </c>
      <c r="E1003">
        <v>-0.19109663409337599</v>
      </c>
      <c r="F1003">
        <v>-1.8445322793147999E-2</v>
      </c>
      <c r="G1003">
        <v>-8.7009803921568013E-2</v>
      </c>
      <c r="H1003">
        <v>-0.77196204468931706</v>
      </c>
      <c r="I1003">
        <v>-0.81829268292682911</v>
      </c>
    </row>
    <row r="1004" spans="1:9" x14ac:dyDescent="0.2">
      <c r="A1004" s="1" t="s">
        <v>1004</v>
      </c>
      <c r="B1004" t="str">
        <f>HYPERLINK("https://www.suredividend.com/sure-analysis-research-database/","Luminar Technologies Inc")</f>
        <v>Luminar Technologies Inc</v>
      </c>
      <c r="C1004">
        <v>0.14932126696832501</v>
      </c>
      <c r="D1004">
        <v>-0.102473498233215</v>
      </c>
      <c r="E1004">
        <v>-0.56131260794473203</v>
      </c>
      <c r="F1004">
        <v>-0.24629080118694299</v>
      </c>
      <c r="G1004">
        <v>-0.6242603550295851</v>
      </c>
      <c r="H1004">
        <v>-0.83289473684210502</v>
      </c>
      <c r="I1004">
        <v>-0.74081632653061202</v>
      </c>
    </row>
    <row r="1005" spans="1:9" x14ac:dyDescent="0.2">
      <c r="A1005" s="1" t="s">
        <v>1005</v>
      </c>
      <c r="B1005" t="str">
        <f>HYPERLINK("https://www.suredividend.com/sure-analysis-LBAI/","Lakeland Bancorp, Inc.")</f>
        <v>Lakeland Bancorp, Inc.</v>
      </c>
      <c r="C1005">
        <v>-7.8521207292150008E-2</v>
      </c>
      <c r="D1005">
        <v>9.1356402160400012E-4</v>
      </c>
      <c r="E1005">
        <v>-5.4826137954519003E-2</v>
      </c>
      <c r="F1005">
        <v>-0.13646482943624699</v>
      </c>
      <c r="G1005">
        <v>-0.306796612239008</v>
      </c>
      <c r="H1005">
        <v>-0.24228176926296799</v>
      </c>
      <c r="I1005">
        <v>-7.4945007739651001E-2</v>
      </c>
    </row>
    <row r="1006" spans="1:9" x14ac:dyDescent="0.2">
      <c r="A1006" s="1" t="s">
        <v>1006</v>
      </c>
      <c r="B1006" t="str">
        <f>HYPERLINK("https://www.suredividend.com/sure-analysis-research-database/","Luther Burbank Corp")</f>
        <v>Luther Burbank Corp</v>
      </c>
      <c r="C1006">
        <v>-2.9743589743589E-2</v>
      </c>
      <c r="D1006">
        <v>6.1728395061728003E-2</v>
      </c>
      <c r="E1006">
        <v>-1.2526096033402E-2</v>
      </c>
      <c r="F1006">
        <v>-0.116713352007469</v>
      </c>
      <c r="G1006">
        <v>-0.22267871815940801</v>
      </c>
      <c r="H1006">
        <v>-0.26590411745534098</v>
      </c>
      <c r="I1006">
        <v>-7.8969723029159999E-3</v>
      </c>
    </row>
    <row r="1007" spans="1:9" x14ac:dyDescent="0.2">
      <c r="A1007" s="1" t="s">
        <v>1007</v>
      </c>
      <c r="B1007" t="str">
        <f>HYPERLINK("https://www.suredividend.com/sure-analysis-research-database/","Longboard Pharmaceuticals Inc")</f>
        <v>Longboard Pharmaceuticals Inc</v>
      </c>
      <c r="C1007">
        <v>-0.133851821530904</v>
      </c>
      <c r="D1007">
        <v>3.8924855491329482</v>
      </c>
      <c r="E1007">
        <v>2.5384615384615379</v>
      </c>
      <c r="F1007">
        <v>2.5091210613598678</v>
      </c>
      <c r="G1007">
        <v>3.223552894211577</v>
      </c>
      <c r="H1007">
        <v>3.5021276595744681</v>
      </c>
      <c r="I1007">
        <v>0.27087087087086997</v>
      </c>
    </row>
    <row r="1008" spans="1:9" x14ac:dyDescent="0.2">
      <c r="A1008" s="1" t="s">
        <v>1008</v>
      </c>
      <c r="B1008" t="str">
        <f>HYPERLINK("https://www.suredividend.com/sure-analysis-research-database/","Liberty Energy Inc")</f>
        <v>Liberty Energy Inc</v>
      </c>
      <c r="C1008">
        <v>0.217063261752756</v>
      </c>
      <c r="D1008">
        <v>6.0692662151430002E-2</v>
      </c>
      <c r="E1008">
        <v>0.30056190228109902</v>
      </c>
      <c r="F1008">
        <v>0.15600882028665899</v>
      </c>
      <c r="G1008">
        <v>0.40587288817377298</v>
      </c>
      <c r="H1008">
        <v>0.84521976329798909</v>
      </c>
      <c r="I1008">
        <v>0.24519764617860301</v>
      </c>
    </row>
    <row r="1009" spans="1:9" x14ac:dyDescent="0.2">
      <c r="A1009" s="1" t="s">
        <v>1009</v>
      </c>
      <c r="B1009" t="str">
        <f>HYPERLINK("https://www.suredividend.com/sure-analysis-research-database/","LendingClub Corp")</f>
        <v>LendingClub Corp</v>
      </c>
      <c r="C1009">
        <v>5.1572327044025007E-2</v>
      </c>
      <c r="D1009">
        <v>0.48754448398576511</v>
      </c>
      <c r="E1009">
        <v>0.24590163934426201</v>
      </c>
      <c r="F1009">
        <v>-4.3478260869565001E-2</v>
      </c>
      <c r="G1009">
        <v>-0.157258064516129</v>
      </c>
      <c r="H1009">
        <v>-0.53322166387493009</v>
      </c>
      <c r="I1009">
        <v>-0.50385756676557802</v>
      </c>
    </row>
    <row r="1010" spans="1:9" x14ac:dyDescent="0.2">
      <c r="A1010" s="1" t="s">
        <v>1010</v>
      </c>
      <c r="B1010" t="str">
        <f>HYPERLINK("https://www.suredividend.com/sure-analysis-research-database/","LCI Industries")</f>
        <v>LCI Industries</v>
      </c>
      <c r="C1010">
        <v>4.1028304336535003E-2</v>
      </c>
      <c r="D1010">
        <v>6.5938964868417008E-2</v>
      </c>
      <c r="E1010">
        <v>-1.7079942039834001E-2</v>
      </c>
      <c r="F1010">
        <v>-4.3274202529631003E-2</v>
      </c>
      <c r="G1010">
        <v>6.7690532202938011E-2</v>
      </c>
      <c r="H1010">
        <v>4.5960697550641007E-2</v>
      </c>
      <c r="I1010">
        <v>0.671003838848928</v>
      </c>
    </row>
    <row r="1011" spans="1:9" x14ac:dyDescent="0.2">
      <c r="A1011" s="1" t="s">
        <v>1011</v>
      </c>
      <c r="B1011" t="str">
        <f>HYPERLINK("https://www.suredividend.com/sure-analysis-research-database/","LCNB Corp")</f>
        <v>LCNB Corp</v>
      </c>
      <c r="C1011">
        <v>-7.241606319947301E-2</v>
      </c>
      <c r="D1011">
        <v>-1.6212593037382001E-2</v>
      </c>
      <c r="E1011">
        <v>-7.3842796482048001E-2</v>
      </c>
      <c r="F1011">
        <v>-0.10653138871274501</v>
      </c>
      <c r="G1011">
        <v>-0.17476865409394399</v>
      </c>
      <c r="H1011">
        <v>-0.15432261781864401</v>
      </c>
      <c r="I1011">
        <v>0.10270236427526</v>
      </c>
    </row>
    <row r="1012" spans="1:9" x14ac:dyDescent="0.2">
      <c r="A1012" s="1" t="s">
        <v>1012</v>
      </c>
      <c r="B1012" t="str">
        <f>HYPERLINK("https://www.suredividend.com/sure-analysis-research-database/","Lineage Cell Therapeutics Inc")</f>
        <v>Lineage Cell Therapeutics Inc</v>
      </c>
      <c r="C1012">
        <v>3.8095238095238002E-2</v>
      </c>
      <c r="D1012">
        <v>1.8691588785045999E-2</v>
      </c>
      <c r="E1012">
        <v>-0.22695035460992799</v>
      </c>
      <c r="F1012">
        <v>0</v>
      </c>
      <c r="G1012">
        <v>-0.21014492753623101</v>
      </c>
      <c r="H1012">
        <v>-0.25342465753424598</v>
      </c>
      <c r="I1012">
        <v>-5.2173913043478001E-2</v>
      </c>
    </row>
    <row r="1013" spans="1:9" x14ac:dyDescent="0.2">
      <c r="A1013" s="1" t="s">
        <v>1013</v>
      </c>
      <c r="B1013" t="str">
        <f>HYPERLINK("https://www.suredividend.com/sure-analysis-research-database/","Lands` End, Inc.")</f>
        <v>Lands` End, Inc.</v>
      </c>
      <c r="C1013">
        <v>0.108796296296296</v>
      </c>
      <c r="D1013">
        <v>0.366619115549215</v>
      </c>
      <c r="E1013">
        <v>-2.0833333333329998E-3</v>
      </c>
      <c r="F1013">
        <v>2.0920502092039999E-3</v>
      </c>
      <c r="G1013">
        <v>0.14456391875746699</v>
      </c>
      <c r="H1013">
        <v>-0.45319634703196299</v>
      </c>
      <c r="I1013">
        <v>-0.45413105413105398</v>
      </c>
    </row>
    <row r="1014" spans="1:9" x14ac:dyDescent="0.2">
      <c r="A1014" s="1" t="s">
        <v>1014</v>
      </c>
      <c r="B1014" t="str">
        <f>HYPERLINK("https://www.suredividend.com/sure-analysis-research-database/","Legacy Housing Corp")</f>
        <v>Legacy Housing Corp</v>
      </c>
      <c r="C1014">
        <v>8.5197934595524008E-2</v>
      </c>
      <c r="D1014">
        <v>0.142210144927536</v>
      </c>
      <c r="E1014">
        <v>0.188501413760603</v>
      </c>
      <c r="F1014">
        <v>0</v>
      </c>
      <c r="G1014">
        <v>0.23931203931203901</v>
      </c>
      <c r="H1014">
        <v>-7.1770334928228999E-2</v>
      </c>
      <c r="I1014">
        <v>0.87509293680297406</v>
      </c>
    </row>
    <row r="1015" spans="1:9" x14ac:dyDescent="0.2">
      <c r="A1015" s="1" t="s">
        <v>1015</v>
      </c>
      <c r="B1015" t="str">
        <f>HYPERLINK("https://www.suredividend.com/sure-analysis-research-database/","Leslies Inc")</f>
        <v>Leslies Inc</v>
      </c>
      <c r="C1015">
        <v>0.122781065088757</v>
      </c>
      <c r="D1015">
        <v>0.33391915641476211</v>
      </c>
      <c r="E1015">
        <v>0.15174506828528</v>
      </c>
      <c r="F1015">
        <v>9.8408104196816004E-2</v>
      </c>
      <c r="G1015">
        <v>-0.44026548672566301</v>
      </c>
      <c r="H1015">
        <v>-0.63333333333333308</v>
      </c>
      <c r="I1015">
        <v>-0.65023041474654308</v>
      </c>
    </row>
    <row r="1016" spans="1:9" x14ac:dyDescent="0.2">
      <c r="A1016" s="1" t="s">
        <v>1016</v>
      </c>
      <c r="B1016" t="str">
        <f>HYPERLINK("https://www.suredividend.com/sure-analysis-research-database/","Centrus Energy Corp")</f>
        <v>Centrus Energy Corp</v>
      </c>
      <c r="C1016">
        <v>-0.21642066420664199</v>
      </c>
      <c r="D1016">
        <v>-0.169372188539018</v>
      </c>
      <c r="E1016">
        <v>-4.2203985932000006E-3</v>
      </c>
      <c r="F1016">
        <v>-0.21944495497151201</v>
      </c>
      <c r="G1016">
        <v>2.8335301062570001E-3</v>
      </c>
      <c r="H1016">
        <v>6.0689310689310008E-2</v>
      </c>
      <c r="I1016">
        <v>12.83387622149837</v>
      </c>
    </row>
    <row r="1017" spans="1:9" x14ac:dyDescent="0.2">
      <c r="A1017" s="1" t="s">
        <v>1017</v>
      </c>
      <c r="B1017" t="str">
        <f>HYPERLINK("https://www.suredividend.com/sure-analysis-research-database/","LifeStance Health Group Inc")</f>
        <v>LifeStance Health Group Inc</v>
      </c>
      <c r="C1017">
        <v>-2.0527859237536E-2</v>
      </c>
      <c r="D1017">
        <v>7.7419354838709001E-2</v>
      </c>
      <c r="E1017">
        <v>-0.121052631578947</v>
      </c>
      <c r="F1017">
        <v>-0.14687100893997401</v>
      </c>
      <c r="G1017">
        <v>0.22568807339449501</v>
      </c>
      <c r="H1017">
        <v>-0.28556149732620301</v>
      </c>
      <c r="I1017">
        <v>-0.69497716894977102</v>
      </c>
    </row>
    <row r="1018" spans="1:9" x14ac:dyDescent="0.2">
      <c r="A1018" s="1" t="s">
        <v>1018</v>
      </c>
      <c r="B1018" t="str">
        <f>HYPERLINK("https://www.suredividend.com/sure-analysis-research-database/","LGI Homes Inc")</f>
        <v>LGI Homes Inc</v>
      </c>
      <c r="C1018">
        <v>-6.7040898155573E-2</v>
      </c>
      <c r="D1018">
        <v>-3.9623576027736002E-2</v>
      </c>
      <c r="E1018">
        <v>-1.5319509098602999E-2</v>
      </c>
      <c r="F1018">
        <v>-0.12631420847101199</v>
      </c>
      <c r="G1018">
        <v>1.7936827368973E-2</v>
      </c>
      <c r="H1018">
        <v>-6.381266596926001E-2</v>
      </c>
      <c r="I1018">
        <v>0.9131721756290081</v>
      </c>
    </row>
    <row r="1019" spans="1:9" x14ac:dyDescent="0.2">
      <c r="A1019" s="1" t="s">
        <v>1019</v>
      </c>
      <c r="B1019" t="str">
        <f>HYPERLINK("https://www.suredividend.com/sure-analysis-research-database/","Ligand Pharmaceuticals, Inc.")</f>
        <v>Ligand Pharmaceuticals, Inc.</v>
      </c>
      <c r="C1019">
        <v>-2.0683949255370002E-3</v>
      </c>
      <c r="D1019">
        <v>0.24518238128011</v>
      </c>
      <c r="E1019">
        <v>9.3532789362345006E-2</v>
      </c>
      <c r="F1019">
        <v>1.3301596191543001E-2</v>
      </c>
      <c r="G1019">
        <v>-1.764626035021E-2</v>
      </c>
      <c r="H1019">
        <v>-0.29436427457098202</v>
      </c>
      <c r="I1019">
        <v>-0.39138844504246911</v>
      </c>
    </row>
    <row r="1020" spans="1:9" x14ac:dyDescent="0.2">
      <c r="A1020" s="1" t="s">
        <v>1020</v>
      </c>
      <c r="B1020" t="str">
        <f>HYPERLINK("https://www.suredividend.com/sure-analysis-research-database/","Li-Cycle Holdings Corp")</f>
        <v>Li-Cycle Holdings Corp</v>
      </c>
      <c r="C1020">
        <v>3.2856784549786001E-2</v>
      </c>
      <c r="D1020">
        <v>-0.44358870422915803</v>
      </c>
      <c r="E1020">
        <v>-0.90989059080962809</v>
      </c>
      <c r="F1020">
        <v>-0.29582763337893198</v>
      </c>
      <c r="G1020">
        <v>-0.92936535162950207</v>
      </c>
      <c r="H1020">
        <v>-0.94158865248226908</v>
      </c>
      <c r="I1020">
        <v>-0.95760975860826603</v>
      </c>
    </row>
    <row r="1021" spans="1:9" x14ac:dyDescent="0.2">
      <c r="A1021" s="1" t="s">
        <v>1021</v>
      </c>
      <c r="B1021" t="str">
        <f>HYPERLINK("https://www.suredividend.com/sure-analysis-research-database/","Liberty Latin America Ltd")</f>
        <v>Liberty Latin America Ltd</v>
      </c>
      <c r="C1021">
        <v>-5.0490883590462013E-2</v>
      </c>
      <c r="D1021">
        <v>-3.1473533619456012E-2</v>
      </c>
      <c r="E1021">
        <v>-0.217341040462427</v>
      </c>
      <c r="F1021">
        <v>-7.3871409028727006E-2</v>
      </c>
      <c r="G1021">
        <v>-0.26652221018418198</v>
      </c>
      <c r="H1021">
        <v>-0.39982269503546097</v>
      </c>
      <c r="I1021">
        <v>-0.61736712409287109</v>
      </c>
    </row>
    <row r="1022" spans="1:9" x14ac:dyDescent="0.2">
      <c r="A1022" s="1" t="s">
        <v>1022</v>
      </c>
      <c r="B1022" t="str">
        <f>HYPERLINK("https://www.suredividend.com/sure-analysis-research-database/","Liberty Latin America Ltd")</f>
        <v>Liberty Latin America Ltd</v>
      </c>
      <c r="C1022">
        <v>-5.1317614424409998E-2</v>
      </c>
      <c r="D1022">
        <v>-2.9787234042552999E-2</v>
      </c>
      <c r="E1022">
        <v>-0.20465116279069701</v>
      </c>
      <c r="F1022">
        <v>-6.8119891008174005E-2</v>
      </c>
      <c r="G1022">
        <v>-0.26133909287257001</v>
      </c>
      <c r="H1022">
        <v>-0.37987307343608301</v>
      </c>
      <c r="I1022">
        <v>-0.61644357963562102</v>
      </c>
    </row>
    <row r="1023" spans="1:9" x14ac:dyDescent="0.2">
      <c r="A1023" s="1" t="s">
        <v>1023</v>
      </c>
      <c r="B1023" t="str">
        <f>HYPERLINK("https://www.suredividend.com/sure-analysis-research-database/","Lincoln Educational Services Corp")</f>
        <v>Lincoln Educational Services Corp</v>
      </c>
      <c r="C1023">
        <v>6.0803474484256007E-2</v>
      </c>
      <c r="D1023">
        <v>3.7154989384287997E-2</v>
      </c>
      <c r="E1023">
        <v>0.11784897025171601</v>
      </c>
      <c r="F1023">
        <v>-2.6892430278884001E-2</v>
      </c>
      <c r="G1023">
        <v>0.45386904761904712</v>
      </c>
      <c r="H1023">
        <v>0.37026647966339399</v>
      </c>
      <c r="I1023">
        <v>2.1015873015873008</v>
      </c>
    </row>
    <row r="1024" spans="1:9" x14ac:dyDescent="0.2">
      <c r="A1024" s="1" t="s">
        <v>1024</v>
      </c>
      <c r="B1024" t="str">
        <f>HYPERLINK("https://www.suredividend.com/sure-analysis-research-database/","Lindblad Expeditions Holdings Inc")</f>
        <v>Lindblad Expeditions Holdings Inc</v>
      </c>
      <c r="C1024">
        <v>-3.6677454153182E-2</v>
      </c>
      <c r="D1024">
        <v>0.19066666666666601</v>
      </c>
      <c r="E1024">
        <v>-7.4611398963730008E-2</v>
      </c>
      <c r="F1024">
        <v>-0.207630878438331</v>
      </c>
      <c r="G1024">
        <v>-0.18521897810218901</v>
      </c>
      <c r="H1024">
        <v>-0.49462365591397811</v>
      </c>
      <c r="I1024">
        <v>-0.315184049079754</v>
      </c>
    </row>
    <row r="1025" spans="1:9" x14ac:dyDescent="0.2">
      <c r="A1025" s="1" t="s">
        <v>1025</v>
      </c>
      <c r="B1025" t="str">
        <f>HYPERLINK("https://www.suredividend.com/sure-analysis-research-database/","LivaNova PLC")</f>
        <v>LivaNova PLC</v>
      </c>
      <c r="C1025">
        <v>4.6766169154228002E-2</v>
      </c>
      <c r="D1025">
        <v>0.12249253094323501</v>
      </c>
      <c r="E1025">
        <v>-2.9341206864735001E-2</v>
      </c>
      <c r="F1025">
        <v>1.6621569385387999E-2</v>
      </c>
      <c r="G1025">
        <v>-5.9033989266547002E-2</v>
      </c>
      <c r="H1025">
        <v>-0.25936355956068702</v>
      </c>
      <c r="I1025">
        <v>-0.47315705128205099</v>
      </c>
    </row>
    <row r="1026" spans="1:9" x14ac:dyDescent="0.2">
      <c r="A1026" s="1" t="s">
        <v>1026</v>
      </c>
      <c r="B1026" t="str">
        <f>HYPERLINK("https://www.suredividend.com/sure-analysis-research-database/","Lakeland Financial Corp.")</f>
        <v>Lakeland Financial Corp.</v>
      </c>
      <c r="C1026">
        <v>1.5460094700210999E-2</v>
      </c>
      <c r="D1026">
        <v>0.12931423415294299</v>
      </c>
      <c r="E1026">
        <v>0.17048150847448301</v>
      </c>
      <c r="F1026">
        <v>-9.1630767898610004E-3</v>
      </c>
      <c r="G1026">
        <v>-4.1275426847878001E-2</v>
      </c>
      <c r="H1026">
        <v>-0.12610038662693501</v>
      </c>
      <c r="I1026">
        <v>0.55401210616172503</v>
      </c>
    </row>
    <row r="1027" spans="1:9" x14ac:dyDescent="0.2">
      <c r="A1027" s="1" t="s">
        <v>1027</v>
      </c>
      <c r="B1027" t="str">
        <f>HYPERLINK("https://www.suredividend.com/sure-analysis-research-database/","Terran Orbital Corp")</f>
        <v>Terran Orbital Corp</v>
      </c>
      <c r="C1027">
        <v>0.188495364868076</v>
      </c>
      <c r="D1027">
        <v>0.26951885235495698</v>
      </c>
      <c r="E1027">
        <v>-0.19354838709677399</v>
      </c>
      <c r="F1027">
        <v>-0.122807017543859</v>
      </c>
      <c r="G1027">
        <v>-0.44444444444444398</v>
      </c>
      <c r="H1027">
        <v>-0.89929506545820703</v>
      </c>
      <c r="I1027">
        <v>-0.89827060020345806</v>
      </c>
    </row>
    <row r="1028" spans="1:9" x14ac:dyDescent="0.2">
      <c r="A1028" s="1" t="s">
        <v>1028</v>
      </c>
      <c r="B1028" t="str">
        <f>HYPERLINK("https://www.suredividend.com/sure-analysis-LMAT/","Lemaitre Vascular Inc")</f>
        <v>Lemaitre Vascular Inc</v>
      </c>
      <c r="C1028">
        <v>8.3954900260190007E-2</v>
      </c>
      <c r="D1028">
        <v>0.16238839285714299</v>
      </c>
      <c r="E1028">
        <v>0.139421919786447</v>
      </c>
      <c r="F1028">
        <v>0.100951374207188</v>
      </c>
      <c r="G1028">
        <v>0.25867364922705</v>
      </c>
      <c r="H1028">
        <v>0.51677702479659804</v>
      </c>
      <c r="I1028">
        <v>1.152252305000568</v>
      </c>
    </row>
    <row r="1029" spans="1:9" x14ac:dyDescent="0.2">
      <c r="A1029" s="1" t="s">
        <v>1029</v>
      </c>
      <c r="B1029" t="str">
        <f>HYPERLINK("https://www.suredividend.com/sure-analysis-research-database/","Limbach Holdings Inc")</f>
        <v>Limbach Holdings Inc</v>
      </c>
      <c r="C1029">
        <v>0.119820533122195</v>
      </c>
      <c r="D1029">
        <v>8.655569782330301E-2</v>
      </c>
      <c r="E1029">
        <v>0.29557251908396898</v>
      </c>
      <c r="F1029">
        <v>-6.6857268528700012E-2</v>
      </c>
      <c r="G1029">
        <v>2.236460717009916</v>
      </c>
      <c r="H1029">
        <v>4.4748387096774191</v>
      </c>
      <c r="I1029">
        <v>6.328151986183074</v>
      </c>
    </row>
    <row r="1030" spans="1:9" x14ac:dyDescent="0.2">
      <c r="A1030" s="1" t="s">
        <v>1030</v>
      </c>
      <c r="B1030" t="str">
        <f>HYPERLINK("https://www.suredividend.com/sure-analysis-research-database/","Lemonade Inc")</f>
        <v>Lemonade Inc</v>
      </c>
      <c r="C1030">
        <v>8.8145896656534009E-2</v>
      </c>
      <c r="D1030">
        <v>5.7919621749408012E-2</v>
      </c>
      <c r="E1030">
        <v>0.27948534667619701</v>
      </c>
      <c r="F1030">
        <v>0.10973341599504</v>
      </c>
      <c r="G1030">
        <v>7.3141486810551007E-2</v>
      </c>
      <c r="H1030">
        <v>-0.32196969696969702</v>
      </c>
      <c r="I1030">
        <v>-0.74211208759544711</v>
      </c>
    </row>
    <row r="1031" spans="1:9" x14ac:dyDescent="0.2">
      <c r="A1031" s="1" t="s">
        <v>1031</v>
      </c>
      <c r="B1031" t="str">
        <f>HYPERLINK("https://www.suredividend.com/sure-analysis-research-database/","Limoneira Co")</f>
        <v>Limoneira Co</v>
      </c>
      <c r="C1031">
        <v>-6.0307017543850001E-3</v>
      </c>
      <c r="D1031">
        <v>0.23221846900423401</v>
      </c>
      <c r="E1031">
        <v>0.21529407033020001</v>
      </c>
      <c r="F1031">
        <v>-0.121182743577314</v>
      </c>
      <c r="G1031">
        <v>0.26308895964106799</v>
      </c>
      <c r="H1031">
        <v>0.34812578541525602</v>
      </c>
      <c r="I1031">
        <v>-0.12732488736570499</v>
      </c>
    </row>
    <row r="1032" spans="1:9" x14ac:dyDescent="0.2">
      <c r="A1032" s="1" t="s">
        <v>1032</v>
      </c>
      <c r="B1032" t="str">
        <f>HYPERLINK("https://www.suredividend.com/sure-analysis-LNN/","Lindsay Corporation")</f>
        <v>Lindsay Corporation</v>
      </c>
      <c r="C1032">
        <v>-5.0030636686038001E-2</v>
      </c>
      <c r="D1032">
        <v>4.4730480522600001E-4</v>
      </c>
      <c r="E1032">
        <v>1.1060819272981E-2</v>
      </c>
      <c r="F1032">
        <v>-4.6647427252420007E-2</v>
      </c>
      <c r="G1032">
        <v>-0.210669429977205</v>
      </c>
      <c r="H1032">
        <v>-4.7797037073800001E-2</v>
      </c>
      <c r="I1032">
        <v>0.44053440201221999</v>
      </c>
    </row>
    <row r="1033" spans="1:9" x14ac:dyDescent="0.2">
      <c r="A1033" s="1" t="s">
        <v>1033</v>
      </c>
      <c r="B1033" t="str">
        <f>HYPERLINK("https://www.suredividend.com/sure-analysis-research-database/","Lantheus Holdings Inc")</f>
        <v>Lantheus Holdings Inc</v>
      </c>
      <c r="C1033">
        <v>7.0648078372268011E-2</v>
      </c>
      <c r="D1033">
        <v>-0.17780671296296299</v>
      </c>
      <c r="E1033">
        <v>-0.14257694628847301</v>
      </c>
      <c r="F1033">
        <v>-8.3387096774193009E-2</v>
      </c>
      <c r="G1033">
        <v>-4.8392498325519007E-2</v>
      </c>
      <c r="H1033">
        <v>0.96984402079722709</v>
      </c>
      <c r="I1033">
        <v>1.579664094416704</v>
      </c>
    </row>
    <row r="1034" spans="1:9" x14ac:dyDescent="0.2">
      <c r="A1034" s="1" t="s">
        <v>1034</v>
      </c>
      <c r="B1034" t="str">
        <f>HYPERLINK("https://www.suredividend.com/sure-analysis-research-database/","Light &amp; Wonder Inc")</f>
        <v>Light &amp; Wonder Inc</v>
      </c>
      <c r="C1034">
        <v>7.6321895225302E-2</v>
      </c>
      <c r="D1034">
        <v>2.3574497735454E-2</v>
      </c>
      <c r="E1034">
        <v>0.19918367346938701</v>
      </c>
      <c r="F1034">
        <v>7.3438070880526007E-2</v>
      </c>
      <c r="G1034">
        <v>0.37033582089552203</v>
      </c>
      <c r="H1034">
        <v>0.42459996767415498</v>
      </c>
      <c r="I1034">
        <v>2.3641221374045802</v>
      </c>
    </row>
    <row r="1035" spans="1:9" x14ac:dyDescent="0.2">
      <c r="A1035" s="1" t="s">
        <v>1035</v>
      </c>
      <c r="B1035" t="str">
        <f>HYPERLINK("https://www.suredividend.com/sure-analysis-research-database/","LanzaTech Global Inc")</f>
        <v>LanzaTech Global Inc</v>
      </c>
      <c r="C1035">
        <v>-0.14004914004913999</v>
      </c>
      <c r="D1035">
        <v>-0.146341463414634</v>
      </c>
      <c r="E1035">
        <v>-0.45397815912636502</v>
      </c>
      <c r="F1035">
        <v>-0.30417495029821001</v>
      </c>
      <c r="G1035">
        <v>-0.156626506024096</v>
      </c>
      <c r="H1035">
        <v>-0.63655244029075808</v>
      </c>
      <c r="I1035">
        <v>-0.64646107536439701</v>
      </c>
    </row>
    <row r="1036" spans="1:9" x14ac:dyDescent="0.2">
      <c r="A1036" s="1" t="s">
        <v>1036</v>
      </c>
      <c r="B1036" t="str">
        <f>HYPERLINK("https://www.suredividend.com/sure-analysis-research-database/","Live Oak Bancshares Inc")</f>
        <v>Live Oak Bancshares Inc</v>
      </c>
      <c r="C1036">
        <v>-3.0607247796277999E-2</v>
      </c>
      <c r="D1036">
        <v>0.174808822787552</v>
      </c>
      <c r="E1036">
        <v>0.15906302972459399</v>
      </c>
      <c r="F1036">
        <v>-0.12989010989010899</v>
      </c>
      <c r="G1036">
        <v>0.13440345679295301</v>
      </c>
      <c r="H1036">
        <v>-0.37370675744939302</v>
      </c>
      <c r="I1036">
        <v>1.387370274556627</v>
      </c>
    </row>
    <row r="1037" spans="1:9" x14ac:dyDescent="0.2">
      <c r="A1037" s="1" t="s">
        <v>1037</v>
      </c>
      <c r="B1037" t="str">
        <f>HYPERLINK("https://www.suredividend.com/sure-analysis-research-database/","El Pollo Loco Holdings Inc")</f>
        <v>El Pollo Loco Holdings Inc</v>
      </c>
      <c r="C1037">
        <v>2.217294900221E-3</v>
      </c>
      <c r="D1037">
        <v>1.3452914798205999E-2</v>
      </c>
      <c r="E1037">
        <v>-9.7804391217564013E-2</v>
      </c>
      <c r="F1037">
        <v>2.4943310657595998E-2</v>
      </c>
      <c r="G1037">
        <v>-0.25901639344262201</v>
      </c>
      <c r="H1037">
        <v>-0.22682175846732799</v>
      </c>
      <c r="I1037">
        <v>-0.31911816764455497</v>
      </c>
    </row>
    <row r="1038" spans="1:9" x14ac:dyDescent="0.2">
      <c r="A1038" s="1" t="s">
        <v>1038</v>
      </c>
      <c r="B1038" t="str">
        <f>HYPERLINK("https://www.suredividend.com/sure-analysis-research-database/","Lovesac Company")</f>
        <v>Lovesac Company</v>
      </c>
      <c r="C1038">
        <v>3.1620553359683001E-2</v>
      </c>
      <c r="D1038">
        <v>0.20153452685421899</v>
      </c>
      <c r="E1038">
        <v>-1.4681208053691001E-2</v>
      </c>
      <c r="F1038">
        <v>-8.0626223091976007E-2</v>
      </c>
      <c r="G1038">
        <v>-0.19055823569951699</v>
      </c>
      <c r="H1038">
        <v>-0.41245622811405702</v>
      </c>
      <c r="I1038">
        <v>-0.22372769332452</v>
      </c>
    </row>
    <row r="1039" spans="1:9" x14ac:dyDescent="0.2">
      <c r="A1039" s="1" t="s">
        <v>1039</v>
      </c>
      <c r="B1039" t="str">
        <f>HYPERLINK("https://www.suredividend.com/sure-analysis-research-database/","Dorian LPG Ltd")</f>
        <v>Dorian LPG Ltd</v>
      </c>
      <c r="C1039">
        <v>-0.170516846886131</v>
      </c>
      <c r="D1039">
        <v>-0.186049865864094</v>
      </c>
      <c r="E1039">
        <v>0.45978478305856302</v>
      </c>
      <c r="F1039">
        <v>-0.20738772691627899</v>
      </c>
      <c r="G1039">
        <v>0.79898733908201702</v>
      </c>
      <c r="H1039">
        <v>3.230860541540153</v>
      </c>
      <c r="I1039">
        <v>8.9287452716769788</v>
      </c>
    </row>
    <row r="1040" spans="1:9" x14ac:dyDescent="0.2">
      <c r="A1040" s="1" t="s">
        <v>1040</v>
      </c>
      <c r="B1040" t="str">
        <f>HYPERLINK("https://www.suredividend.com/sure-analysis-research-database/","Open Lending Corp")</f>
        <v>Open Lending Corp</v>
      </c>
      <c r="C1040">
        <v>0.06</v>
      </c>
      <c r="D1040">
        <v>0.34064080944350711</v>
      </c>
      <c r="E1040">
        <v>-6.5804935370152001E-2</v>
      </c>
      <c r="F1040">
        <v>-6.5804935370152001E-2</v>
      </c>
      <c r="G1040">
        <v>-0.110738255033556</v>
      </c>
      <c r="H1040">
        <v>-0.56318681318681307</v>
      </c>
      <c r="I1040">
        <v>-0.46028513238289198</v>
      </c>
    </row>
    <row r="1041" spans="1:9" x14ac:dyDescent="0.2">
      <c r="A1041" s="1" t="s">
        <v>1041</v>
      </c>
      <c r="B1041" t="str">
        <f>HYPERLINK("https://www.suredividend.com/sure-analysis-research-database/","Liveperson Inc")</f>
        <v>Liveperson Inc</v>
      </c>
      <c r="C1041">
        <v>-0.13240418118466801</v>
      </c>
      <c r="D1041">
        <v>-0.21698113207547101</v>
      </c>
      <c r="E1041">
        <v>-0.41958041958041897</v>
      </c>
      <c r="F1041">
        <v>-0.34300791556728211</v>
      </c>
      <c r="G1041">
        <v>-0.82501756851721708</v>
      </c>
      <c r="H1041">
        <v>-0.89873932492883202</v>
      </c>
      <c r="I1041">
        <v>-0.90514285714285703</v>
      </c>
    </row>
    <row r="1042" spans="1:9" x14ac:dyDescent="0.2">
      <c r="A1042" s="1" t="s">
        <v>1042</v>
      </c>
      <c r="B1042" t="str">
        <f>HYPERLINK("https://www.suredividend.com/sure-analysis-research-database/","Loop Media Inc")</f>
        <v>Loop Media Inc</v>
      </c>
      <c r="C1042">
        <v>-0.39259740259740211</v>
      </c>
      <c r="D1042">
        <v>-0.13867403314917101</v>
      </c>
      <c r="E1042">
        <v>-0.692302631578947</v>
      </c>
      <c r="F1042">
        <v>-0.5323</v>
      </c>
      <c r="G1042">
        <v>-0.9209966216216211</v>
      </c>
      <c r="H1042">
        <v>-0.90551515151515105</v>
      </c>
      <c r="I1042">
        <v>-0.90551515151515105</v>
      </c>
    </row>
    <row r="1043" spans="1:9" x14ac:dyDescent="0.2">
      <c r="A1043" s="1" t="s">
        <v>1043</v>
      </c>
      <c r="B1043" t="str">
        <f>HYPERLINK("https://www.suredividend.com/sure-analysis-research-database/","Liquidia Corp")</f>
        <v>Liquidia Corp</v>
      </c>
      <c r="C1043">
        <v>9.6198603568657004E-2</v>
      </c>
      <c r="D1043">
        <v>1.1738461538461531</v>
      </c>
      <c r="E1043">
        <v>1.030172413793103</v>
      </c>
      <c r="F1043">
        <v>0.17456359102244401</v>
      </c>
      <c r="G1043">
        <v>0.80459770114942508</v>
      </c>
      <c r="H1043">
        <v>1.536804308797127</v>
      </c>
      <c r="I1043">
        <v>3.1558823529411768</v>
      </c>
    </row>
    <row r="1044" spans="1:9" x14ac:dyDescent="0.2">
      <c r="A1044" s="1" t="s">
        <v>1044</v>
      </c>
      <c r="B1044" t="str">
        <f>HYPERLINK("https://www.suredividend.com/sure-analysis-research-database/","Liquidity Services Inc")</f>
        <v>Liquidity Services Inc</v>
      </c>
      <c r="C1044">
        <v>6.5011820330960002E-3</v>
      </c>
      <c r="D1044">
        <v>-0.172899465760077</v>
      </c>
      <c r="E1044">
        <v>-6.531284302963701E-2</v>
      </c>
      <c r="F1044">
        <v>-1.0459035444508E-2</v>
      </c>
      <c r="G1044">
        <v>0.3</v>
      </c>
      <c r="H1044">
        <v>5.7763975155279007E-2</v>
      </c>
      <c r="I1044">
        <v>1.4328571428571419</v>
      </c>
    </row>
    <row r="1045" spans="1:9" x14ac:dyDescent="0.2">
      <c r="A1045" s="1" t="s">
        <v>1045</v>
      </c>
      <c r="B1045" t="str">
        <f>HYPERLINK("https://www.suredividend.com/sure-analysis-research-database/","Larimar Therapeutics Inc")</f>
        <v>Larimar Therapeutics Inc</v>
      </c>
      <c r="C1045">
        <v>1.817757009345794</v>
      </c>
      <c r="D1045">
        <v>2.8407643312101909</v>
      </c>
      <c r="E1045">
        <v>2.1162790697674421</v>
      </c>
      <c r="F1045">
        <v>1.6505494505494509</v>
      </c>
      <c r="G1045">
        <v>0.96416938110749206</v>
      </c>
      <c r="H1045">
        <v>2.2419354838709671</v>
      </c>
      <c r="I1045">
        <v>1.5659574468085109</v>
      </c>
    </row>
    <row r="1046" spans="1:9" x14ac:dyDescent="0.2">
      <c r="A1046" s="1" t="s">
        <v>1046</v>
      </c>
      <c r="B1046" t="str">
        <f>HYPERLINK("https://www.suredividend.com/sure-analysis-research-database/","Stride Inc")</f>
        <v>Stride Inc</v>
      </c>
      <c r="C1046">
        <v>-0.101557430240103</v>
      </c>
      <c r="D1046">
        <v>-4.3358092934875997E-2</v>
      </c>
      <c r="E1046">
        <v>0.36068796068796011</v>
      </c>
      <c r="F1046">
        <v>-6.7205659423951E-2</v>
      </c>
      <c r="G1046">
        <v>0.26179084073820902</v>
      </c>
      <c r="H1046">
        <v>0.62930273609885201</v>
      </c>
      <c r="I1046">
        <v>0.73062500000000008</v>
      </c>
    </row>
    <row r="1047" spans="1:9" x14ac:dyDescent="0.2">
      <c r="A1047" s="1" t="s">
        <v>1047</v>
      </c>
      <c r="B1047" t="str">
        <f>HYPERLINK("https://www.suredividend.com/sure-analysis-research-database/","Landsea Homes Corporation")</f>
        <v>Landsea Homes Corporation</v>
      </c>
      <c r="C1047">
        <v>-5.3174603174603013E-2</v>
      </c>
      <c r="D1047">
        <v>0.216106014271151</v>
      </c>
      <c r="E1047">
        <v>0.13510941960038</v>
      </c>
      <c r="F1047">
        <v>-9.2085235920852007E-2</v>
      </c>
      <c r="G1047">
        <v>0.72150072150072109</v>
      </c>
      <c r="H1047">
        <v>0.73149492017416506</v>
      </c>
      <c r="I1047">
        <v>0.197791164658634</v>
      </c>
    </row>
    <row r="1048" spans="1:9" x14ac:dyDescent="0.2">
      <c r="A1048" s="1" t="s">
        <v>1048</v>
      </c>
      <c r="B1048" t="str">
        <f>HYPERLINK("https://www.suredividend.com/sure-analysis-LTC/","LTC Properties, Inc.")</f>
        <v>LTC Properties, Inc.</v>
      </c>
      <c r="C1048">
        <v>7.9607425816040009E-3</v>
      </c>
      <c r="D1048">
        <v>-4.5531092122490001E-3</v>
      </c>
      <c r="E1048">
        <v>4.4653025959235003E-2</v>
      </c>
      <c r="F1048">
        <v>5.762971412006E-3</v>
      </c>
      <c r="G1048">
        <v>-9.9401576047241008E-2</v>
      </c>
      <c r="H1048">
        <v>7.0810353850489005E-2</v>
      </c>
      <c r="I1048">
        <v>-6.0103883255007998E-2</v>
      </c>
    </row>
    <row r="1049" spans="1:9" x14ac:dyDescent="0.2">
      <c r="A1049" s="1" t="s">
        <v>1049</v>
      </c>
      <c r="B1049" t="str">
        <f>HYPERLINK("https://www.suredividend.com/sure-analysis-research-database/","Life Time Group Holdings Inc")</f>
        <v>Life Time Group Holdings Inc</v>
      </c>
      <c r="C1049">
        <v>-0.106007067137809</v>
      </c>
      <c r="D1049">
        <v>-0.14642375168690899</v>
      </c>
      <c r="E1049">
        <v>-0.24477611940298499</v>
      </c>
      <c r="F1049">
        <v>-0.16114058355437599</v>
      </c>
      <c r="G1049">
        <v>-0.30264608599779402</v>
      </c>
      <c r="H1049">
        <v>-0.223926380368098</v>
      </c>
      <c r="I1049">
        <v>-0.287323943661971</v>
      </c>
    </row>
    <row r="1050" spans="1:9" x14ac:dyDescent="0.2">
      <c r="A1050" s="1" t="s">
        <v>1050</v>
      </c>
      <c r="B1050" t="str">
        <f>HYPERLINK("https://www.suredividend.com/sure-analysis-research-database/","Lumen Technologies Inc")</f>
        <v>Lumen Technologies Inc</v>
      </c>
      <c r="C1050">
        <v>0.174242424242424</v>
      </c>
      <c r="D1050">
        <v>0.123188405797101</v>
      </c>
      <c r="E1050">
        <v>-8.823529411764601E-2</v>
      </c>
      <c r="F1050">
        <v>-0.15300546448087399</v>
      </c>
      <c r="G1050">
        <v>-0.60559796437659008</v>
      </c>
      <c r="H1050">
        <v>-0.83308745140691109</v>
      </c>
      <c r="I1050">
        <v>-0.87678463544150809</v>
      </c>
    </row>
    <row r="1051" spans="1:9" x14ac:dyDescent="0.2">
      <c r="A1051" s="1" t="s">
        <v>1051</v>
      </c>
      <c r="B1051" t="str">
        <f>HYPERLINK("https://www.suredividend.com/sure-analysis-research-database/","Luna Innovations Inc")</f>
        <v>Luna Innovations Inc</v>
      </c>
      <c r="C1051">
        <v>5.8487874465049002E-2</v>
      </c>
      <c r="D1051">
        <v>0.27710843373493899</v>
      </c>
      <c r="E1051">
        <v>5.3977272727272013E-2</v>
      </c>
      <c r="F1051">
        <v>0.11578947368421</v>
      </c>
      <c r="G1051">
        <v>-0.20386266094420599</v>
      </c>
      <c r="H1051">
        <v>7.5362318840579007E-2</v>
      </c>
      <c r="I1051">
        <v>1.378205128205128</v>
      </c>
    </row>
    <row r="1052" spans="1:9" x14ac:dyDescent="0.2">
      <c r="A1052" s="1" t="s">
        <v>1052</v>
      </c>
      <c r="B1052" t="str">
        <f>HYPERLINK("https://www.suredividend.com/sure-analysis-research-database/","Pulmonx Corp")</f>
        <v>Pulmonx Corp</v>
      </c>
      <c r="C1052">
        <v>0.1076095311299</v>
      </c>
      <c r="D1052">
        <v>0.328110599078341</v>
      </c>
      <c r="E1052">
        <v>0.39227053140096602</v>
      </c>
      <c r="F1052">
        <v>0.13019607843137199</v>
      </c>
      <c r="G1052">
        <v>0.56121343445287108</v>
      </c>
      <c r="H1052">
        <v>-0.45827067669172911</v>
      </c>
      <c r="I1052">
        <v>-0.63342660900534209</v>
      </c>
    </row>
    <row r="1053" spans="1:9" x14ac:dyDescent="0.2">
      <c r="A1053" s="1" t="s">
        <v>1053</v>
      </c>
      <c r="B1053" t="str">
        <f>HYPERLINK("https://www.suredividend.com/sure-analysis-research-database/","LiveWire Group Inc")</f>
        <v>LiveWire Group Inc</v>
      </c>
      <c r="C1053">
        <v>-0.11660777385159</v>
      </c>
      <c r="D1053">
        <v>5.0251256281400002E-3</v>
      </c>
      <c r="E1053">
        <v>2.0040080160310001E-3</v>
      </c>
      <c r="F1053">
        <v>-0.115826702033598</v>
      </c>
      <c r="G1053">
        <v>0.329787234042553</v>
      </c>
      <c r="H1053">
        <v>0.21212121212121199</v>
      </c>
      <c r="I1053">
        <v>0.21212121212121199</v>
      </c>
    </row>
    <row r="1054" spans="1:9" x14ac:dyDescent="0.2">
      <c r="A1054" s="1" t="s">
        <v>1054</v>
      </c>
      <c r="B1054" t="str">
        <f>HYPERLINK("https://www.suredividend.com/sure-analysis-research-database/","Lightwave Logic Inc")</f>
        <v>Lightwave Logic Inc</v>
      </c>
      <c r="C1054">
        <v>9.2857142857142014E-2</v>
      </c>
      <c r="D1054">
        <v>4.3763676148790001E-3</v>
      </c>
      <c r="E1054">
        <v>-0.32100591715976301</v>
      </c>
      <c r="F1054">
        <v>-7.8313253012048001E-2</v>
      </c>
      <c r="G1054">
        <v>-0.23754152823920199</v>
      </c>
      <c r="H1054">
        <v>-0.31594634873323402</v>
      </c>
      <c r="I1054">
        <v>4.0163934426229506</v>
      </c>
    </row>
    <row r="1055" spans="1:9" x14ac:dyDescent="0.2">
      <c r="A1055" s="1" t="s">
        <v>1055</v>
      </c>
      <c r="B1055" t="str">
        <f>HYPERLINK("https://www.suredividend.com/sure-analysis-research-database/","Luxfer Holdings PLC")</f>
        <v>Luxfer Holdings PLC</v>
      </c>
      <c r="C1055">
        <v>-1.985111662531E-2</v>
      </c>
      <c r="D1055">
        <v>-5.5272535935519007E-2</v>
      </c>
      <c r="E1055">
        <v>-0.296984150997125</v>
      </c>
      <c r="F1055">
        <v>-0.101772577912701</v>
      </c>
      <c r="G1055">
        <v>-0.51050857539407102</v>
      </c>
      <c r="H1055">
        <v>-0.47675535332260299</v>
      </c>
      <c r="I1055">
        <v>-0.527090529239573</v>
      </c>
    </row>
    <row r="1056" spans="1:9" x14ac:dyDescent="0.2">
      <c r="A1056" s="1" t="s">
        <v>1056</v>
      </c>
      <c r="B1056" t="str">
        <f>HYPERLINK("https://www.suredividend.com/sure-analysis-LXP/","LXP Industrial Trust")</f>
        <v>LXP Industrial Trust</v>
      </c>
      <c r="C1056">
        <v>-7.395498392282901E-2</v>
      </c>
      <c r="D1056">
        <v>5.9654631083202007E-2</v>
      </c>
      <c r="E1056">
        <v>-6.1777193801648013E-2</v>
      </c>
      <c r="F1056">
        <v>-0.12903225806451599</v>
      </c>
      <c r="G1056">
        <v>-0.18563551534002501</v>
      </c>
      <c r="H1056">
        <v>-0.37238493723849297</v>
      </c>
      <c r="I1056">
        <v>0.124341206324419</v>
      </c>
    </row>
    <row r="1057" spans="1:9" x14ac:dyDescent="0.2">
      <c r="A1057" s="1" t="s">
        <v>1057</v>
      </c>
      <c r="B1057" t="str">
        <f>HYPERLINK("https://www.suredividend.com/sure-analysis-research-database/","Lexicon Pharmaceuticals Inc")</f>
        <v>Lexicon Pharmaceuticals Inc</v>
      </c>
      <c r="C1057">
        <v>1.0384615384615381</v>
      </c>
      <c r="D1057">
        <v>1.245762711864407</v>
      </c>
      <c r="E1057">
        <v>0.59638554216867401</v>
      </c>
      <c r="F1057">
        <v>0.73202614379084907</v>
      </c>
      <c r="G1057">
        <v>9.0534979423868012E-2</v>
      </c>
      <c r="H1057">
        <v>-3.2846715328467002E-2</v>
      </c>
      <c r="I1057">
        <v>-0.50467289719626107</v>
      </c>
    </row>
    <row r="1058" spans="1:9" x14ac:dyDescent="0.2">
      <c r="A1058" s="1" t="s">
        <v>1058</v>
      </c>
      <c r="B1058" t="str">
        <f>HYPERLINK("https://www.suredividend.com/sure-analysis-research-database/","LSB Industries, Inc.")</f>
        <v>LSB Industries, Inc.</v>
      </c>
      <c r="C1058">
        <v>1.1826544021025001E-2</v>
      </c>
      <c r="D1058">
        <v>-9.4117647058823001E-2</v>
      </c>
      <c r="E1058">
        <v>-0.23686818632309201</v>
      </c>
      <c r="F1058">
        <v>-0.17293233082706699</v>
      </c>
      <c r="G1058">
        <v>-0.39226519337016502</v>
      </c>
      <c r="H1058">
        <v>-0.36311000827129802</v>
      </c>
      <c r="I1058">
        <v>0.31021456890537502</v>
      </c>
    </row>
    <row r="1059" spans="1:9" x14ac:dyDescent="0.2">
      <c r="A1059" s="1" t="s">
        <v>1059</v>
      </c>
      <c r="B1059" t="str">
        <f>HYPERLINK("https://www.suredividend.com/sure-analysis-research-database/","Lyell Immunopharma Inc")</f>
        <v>Lyell Immunopharma Inc</v>
      </c>
      <c r="C1059">
        <v>0.11578947368421</v>
      </c>
      <c r="D1059">
        <v>9.2783505154639012E-2</v>
      </c>
      <c r="E1059">
        <v>-5.3571428571428013E-2</v>
      </c>
      <c r="F1059">
        <v>9.2783505154639012E-2</v>
      </c>
      <c r="G1059">
        <v>-0.18773946360153199</v>
      </c>
      <c r="H1059">
        <v>-0.64607679465776202</v>
      </c>
      <c r="I1059">
        <v>-0.87448194197750106</v>
      </c>
    </row>
    <row r="1060" spans="1:9" x14ac:dyDescent="0.2">
      <c r="A1060" s="1" t="s">
        <v>1060</v>
      </c>
      <c r="B1060" t="str">
        <f>HYPERLINK("https://www.suredividend.com/sure-analysis-research-database/","LSI Industries Inc.")</f>
        <v>LSI Industries Inc.</v>
      </c>
      <c r="C1060">
        <v>6.5963452681622001E-2</v>
      </c>
      <c r="D1060">
        <v>0.13905161054753801</v>
      </c>
      <c r="E1060">
        <v>-8.6039653777808006E-2</v>
      </c>
      <c r="F1060">
        <v>2.6598560615815999E-2</v>
      </c>
      <c r="G1060">
        <v>1.1646269245953E-2</v>
      </c>
      <c r="H1060">
        <v>1.1663647342995169</v>
      </c>
      <c r="I1060">
        <v>4.0837850285187933</v>
      </c>
    </row>
    <row r="1061" spans="1:9" x14ac:dyDescent="0.2">
      <c r="A1061" s="1" t="s">
        <v>1061</v>
      </c>
      <c r="B1061" t="str">
        <f>HYPERLINK("https://www.suredividend.com/sure-analysis-research-database/","LegalZoom.com Inc.")</f>
        <v>LegalZoom.com Inc.</v>
      </c>
      <c r="C1061">
        <v>-7.8485687903970008E-2</v>
      </c>
      <c r="D1061">
        <v>-0.12609457092819601</v>
      </c>
      <c r="E1061">
        <v>-0.17384105960264801</v>
      </c>
      <c r="F1061">
        <v>-0.11681415929203499</v>
      </c>
      <c r="G1061">
        <v>0.17966903073286</v>
      </c>
      <c r="H1061">
        <v>-0.346430910281597</v>
      </c>
      <c r="I1061">
        <v>-0.73632760898282701</v>
      </c>
    </row>
    <row r="1062" spans="1:9" x14ac:dyDescent="0.2">
      <c r="A1062" s="1" t="s">
        <v>1062</v>
      </c>
      <c r="B1062" t="str">
        <f>HYPERLINK("https://www.suredividend.com/sure-analysis-research-database/","La-Z-Boy Inc.")</f>
        <v>La-Z-Boy Inc.</v>
      </c>
      <c r="C1062">
        <v>8.2282110091743008E-2</v>
      </c>
      <c r="D1062">
        <v>0.18962458284356501</v>
      </c>
      <c r="E1062">
        <v>0.24073148927219101</v>
      </c>
      <c r="F1062">
        <v>2.2481040086672999E-2</v>
      </c>
      <c r="G1062">
        <v>0.34044925467470499</v>
      </c>
      <c r="H1062">
        <v>0.37708386531937399</v>
      </c>
      <c r="I1062">
        <v>0.151012891344383</v>
      </c>
    </row>
    <row r="1063" spans="1:9" x14ac:dyDescent="0.2">
      <c r="A1063" s="1" t="s">
        <v>1063</v>
      </c>
      <c r="B1063" t="str">
        <f>HYPERLINK("https://www.suredividend.com/sure-analysis-MAC/","Macerich Co.")</f>
        <v>Macerich Co.</v>
      </c>
      <c r="C1063">
        <v>0.112809893363782</v>
      </c>
      <c r="D1063">
        <v>0.534028759704399</v>
      </c>
      <c r="E1063">
        <v>0.522909861393131</v>
      </c>
      <c r="F1063">
        <v>0.12939235417744199</v>
      </c>
      <c r="G1063">
        <v>0.43675767520114611</v>
      </c>
      <c r="H1063">
        <v>0.22957830810024801</v>
      </c>
      <c r="I1063">
        <v>-0.46390611986126812</v>
      </c>
    </row>
    <row r="1064" spans="1:9" x14ac:dyDescent="0.2">
      <c r="A1064" s="1" t="s">
        <v>1064</v>
      </c>
      <c r="B1064" t="str">
        <f>HYPERLINK("https://www.suredividend.com/sure-analysis-research-database/","Merrimack Pharmaceuticals Inc")</f>
        <v>Merrimack Pharmaceuticals Inc</v>
      </c>
      <c r="C1064">
        <v>0.11363636363636299</v>
      </c>
      <c r="D1064">
        <v>0.15113547376663999</v>
      </c>
      <c r="E1064">
        <v>0.20590648072190301</v>
      </c>
      <c r="F1064">
        <v>9.6196868008948014E-2</v>
      </c>
      <c r="G1064">
        <v>0.26288659793814401</v>
      </c>
      <c r="H1064">
        <v>1.3709677419354831</v>
      </c>
      <c r="I1064">
        <v>2.576033279003576</v>
      </c>
    </row>
    <row r="1065" spans="1:9" x14ac:dyDescent="0.2">
      <c r="A1065" s="1" t="s">
        <v>1065</v>
      </c>
      <c r="B1065" t="str">
        <f>HYPERLINK("https://www.suredividend.com/sure-analysis-research-database/","Marathon Digital Holdings Inc")</f>
        <v>Marathon Digital Holdings Inc</v>
      </c>
      <c r="C1065">
        <v>0.519528828270303</v>
      </c>
      <c r="D1065">
        <v>1.3035714285714279</v>
      </c>
      <c r="E1065">
        <v>1.1728723404255319</v>
      </c>
      <c r="F1065">
        <v>4.3422733077905E-2</v>
      </c>
      <c r="G1065">
        <v>2.1831168831168828</v>
      </c>
      <c r="H1065">
        <v>2.5952281289241999E-2</v>
      </c>
      <c r="I1065">
        <v>7.6914893617021276</v>
      </c>
    </row>
    <row r="1066" spans="1:9" x14ac:dyDescent="0.2">
      <c r="A1066" s="1" t="s">
        <v>1066</v>
      </c>
      <c r="B1066" t="str">
        <f>HYPERLINK("https://www.suredividend.com/sure-analysis-research-database/","908 Devices Inc")</f>
        <v>908 Devices Inc</v>
      </c>
      <c r="C1066">
        <v>-5.6953642384104997E-2</v>
      </c>
      <c r="D1066">
        <v>6.2686567164179002E-2</v>
      </c>
      <c r="E1066">
        <v>1.5691868758915001E-2</v>
      </c>
      <c r="F1066">
        <v>-0.36541889483065898</v>
      </c>
      <c r="G1066">
        <v>-0.32511848341232202</v>
      </c>
      <c r="H1066">
        <v>-0.46019711902956711</v>
      </c>
      <c r="I1066">
        <v>-0.85469387755102011</v>
      </c>
    </row>
    <row r="1067" spans="1:9" x14ac:dyDescent="0.2">
      <c r="A1067" s="1" t="s">
        <v>1067</v>
      </c>
      <c r="B1067" t="str">
        <f>HYPERLINK("https://www.suredividend.com/sure-analysis-research-database/","Mativ Holdings Inc")</f>
        <v>Mativ Holdings Inc</v>
      </c>
      <c r="C1067">
        <v>-3.2852564102564E-2</v>
      </c>
      <c r="D1067">
        <v>-0.12183693959809599</v>
      </c>
      <c r="E1067">
        <v>-0.281487743026204</v>
      </c>
      <c r="F1067">
        <v>-0.21162638798171099</v>
      </c>
      <c r="G1067">
        <v>-0.52380952380952306</v>
      </c>
      <c r="H1067">
        <v>-0.59985147759897606</v>
      </c>
      <c r="I1067">
        <v>-0.58724035811259001</v>
      </c>
    </row>
    <row r="1068" spans="1:9" x14ac:dyDescent="0.2">
      <c r="A1068" s="1" t="s">
        <v>1068</v>
      </c>
      <c r="B1068" t="str">
        <f>HYPERLINK("https://www.suredividend.com/sure-analysis-MATW/","Matthews International Corp.")</f>
        <v>Matthews International Corp.</v>
      </c>
      <c r="C1068">
        <v>-0.15380377379165899</v>
      </c>
      <c r="D1068">
        <v>-0.20125730145641199</v>
      </c>
      <c r="E1068">
        <v>-0.32495271026630301</v>
      </c>
      <c r="F1068">
        <v>-0.23045621766462801</v>
      </c>
      <c r="G1068">
        <v>-0.25479158289773401</v>
      </c>
      <c r="H1068">
        <v>-0.13187667652413401</v>
      </c>
      <c r="I1068">
        <v>-0.22712727656889001</v>
      </c>
    </row>
    <row r="1069" spans="1:9" x14ac:dyDescent="0.2">
      <c r="A1069" s="1" t="s">
        <v>1069</v>
      </c>
      <c r="B1069" t="str">
        <f>HYPERLINK("https://www.suredividend.com/sure-analysis-research-database/","Matson Inc")</f>
        <v>Matson Inc</v>
      </c>
      <c r="C1069">
        <v>-3.0557316349220001E-2</v>
      </c>
      <c r="D1069">
        <v>0.20751327669307201</v>
      </c>
      <c r="E1069">
        <v>0.31672152057306202</v>
      </c>
      <c r="F1069">
        <v>5.7896065966160003E-2</v>
      </c>
      <c r="G1069">
        <v>0.67421089670631307</v>
      </c>
      <c r="H1069">
        <v>0.22658253228504799</v>
      </c>
      <c r="I1069">
        <v>2.530597288384024</v>
      </c>
    </row>
    <row r="1070" spans="1:9" x14ac:dyDescent="0.2">
      <c r="A1070" s="1" t="s">
        <v>1070</v>
      </c>
      <c r="B1070" t="str">
        <f>HYPERLINK("https://www.suredividend.com/sure-analysis-research-database/","MediaAlpha Inc")</f>
        <v>MediaAlpha Inc</v>
      </c>
      <c r="C1070">
        <v>0.45622119815668211</v>
      </c>
      <c r="D1070">
        <v>0.67728237791932</v>
      </c>
      <c r="E1070">
        <v>0.84795321637426802</v>
      </c>
      <c r="F1070">
        <v>0.41704035874439399</v>
      </c>
      <c r="G1070">
        <v>7.3369565217391006E-2</v>
      </c>
      <c r="H1070">
        <v>0.30578512396694202</v>
      </c>
      <c r="I1070">
        <v>-0.50408035153797803</v>
      </c>
    </row>
    <row r="1071" spans="1:9" x14ac:dyDescent="0.2">
      <c r="A1071" s="1" t="s">
        <v>1071</v>
      </c>
      <c r="B1071" t="str">
        <f>HYPERLINK("https://www.suredividend.com/sure-analysis-research-database/","Maxeon Solar Technologies Ltd")</f>
        <v>Maxeon Solar Technologies Ltd</v>
      </c>
      <c r="C1071">
        <v>0.12035010940919</v>
      </c>
      <c r="D1071">
        <v>-1.9493177387910001E-3</v>
      </c>
      <c r="E1071">
        <v>-0.62627737226277302</v>
      </c>
      <c r="F1071">
        <v>-0.285913528591352</v>
      </c>
      <c r="G1071">
        <v>-0.69900058788947605</v>
      </c>
      <c r="H1071">
        <v>-0.42081447963800911</v>
      </c>
      <c r="I1071">
        <v>-0.73052631578947302</v>
      </c>
    </row>
    <row r="1072" spans="1:9" x14ac:dyDescent="0.2">
      <c r="A1072" s="1" t="s">
        <v>1072</v>
      </c>
      <c r="B1072" t="str">
        <f>HYPERLINK("https://www.suredividend.com/sure-analysis-research-database/","MasterBrand Inc")</f>
        <v>MasterBrand Inc</v>
      </c>
      <c r="C1072">
        <v>5.6289089645587001E-2</v>
      </c>
      <c r="D1072">
        <v>0.16030534351145001</v>
      </c>
      <c r="E1072">
        <v>0.20826709062003099</v>
      </c>
      <c r="F1072">
        <v>2.3569023569023E-2</v>
      </c>
      <c r="G1072">
        <v>0.532258064516129</v>
      </c>
      <c r="H1072">
        <v>0.52</v>
      </c>
      <c r="I1072">
        <v>0.52</v>
      </c>
    </row>
    <row r="1073" spans="1:9" x14ac:dyDescent="0.2">
      <c r="A1073" s="1" t="s">
        <v>1073</v>
      </c>
      <c r="B1073" t="str">
        <f>HYPERLINK("https://www.suredividend.com/sure-analysis-research-database/","Middlefield Banc Corp.")</f>
        <v>Middlefield Banc Corp.</v>
      </c>
      <c r="C1073">
        <v>-0.18918918918918901</v>
      </c>
      <c r="D1073">
        <v>-0.14317061702164699</v>
      </c>
      <c r="E1073">
        <v>-0.113986054284561</v>
      </c>
      <c r="F1073">
        <v>-0.24003707136237201</v>
      </c>
      <c r="G1073">
        <v>-9.5332134464535007E-2</v>
      </c>
      <c r="H1073">
        <v>3.2255898754998E-2</v>
      </c>
      <c r="I1073">
        <v>0.35778074600668902</v>
      </c>
    </row>
    <row r="1074" spans="1:9" x14ac:dyDescent="0.2">
      <c r="A1074" s="1" t="s">
        <v>1074</v>
      </c>
      <c r="B1074" t="str">
        <f>HYPERLINK("https://www.suredividend.com/sure-analysis-research-database/","MBIA Inc.")</f>
        <v>MBIA Inc.</v>
      </c>
      <c r="C1074">
        <v>0.13973063973063901</v>
      </c>
      <c r="D1074">
        <v>1.1645298462128719</v>
      </c>
      <c r="E1074">
        <v>0.8344894862345541</v>
      </c>
      <c r="F1074">
        <v>0.10620915032679699</v>
      </c>
      <c r="G1074">
        <v>0.18020326691421201</v>
      </c>
      <c r="H1074">
        <v>5.2173507607665003E-2</v>
      </c>
      <c r="I1074">
        <v>0.55350053925055609</v>
      </c>
    </row>
    <row r="1075" spans="1:9" x14ac:dyDescent="0.2">
      <c r="A1075" s="1" t="s">
        <v>1075</v>
      </c>
      <c r="B1075" t="str">
        <f>HYPERLINK("https://www.suredividend.com/sure-analysis-research-database/","Merchants Bancorp")</f>
        <v>Merchants Bancorp</v>
      </c>
      <c r="C1075">
        <v>2.4172105390379999E-3</v>
      </c>
      <c r="D1075">
        <v>0.243362685927245</v>
      </c>
      <c r="E1075">
        <v>0.40259617270839299</v>
      </c>
      <c r="F1075">
        <v>-2.6068576796618E-2</v>
      </c>
      <c r="G1075">
        <v>0.37253798723112702</v>
      </c>
      <c r="H1075">
        <v>0.42072122071710899</v>
      </c>
      <c r="I1075">
        <v>2.0581919279071998</v>
      </c>
    </row>
    <row r="1076" spans="1:9" x14ac:dyDescent="0.2">
      <c r="A1076" s="1" t="s">
        <v>1076</v>
      </c>
      <c r="B1076" t="str">
        <f>HYPERLINK("https://www.suredividend.com/sure-analysis-research-database/","Malibu Boats Inc")</f>
        <v>Malibu Boats Inc</v>
      </c>
      <c r="C1076">
        <v>-0.17352997510055501</v>
      </c>
      <c r="D1076">
        <v>-7.7005347593582005E-2</v>
      </c>
      <c r="E1076">
        <v>-0.21100749680014599</v>
      </c>
      <c r="F1076">
        <v>-0.212878511492156</v>
      </c>
      <c r="G1076">
        <v>-0.30693864439447399</v>
      </c>
      <c r="H1076">
        <v>-0.36215816703621501</v>
      </c>
      <c r="I1076">
        <v>-2.6398916967509001E-2</v>
      </c>
    </row>
    <row r="1077" spans="1:9" x14ac:dyDescent="0.2">
      <c r="A1077" s="1" t="s">
        <v>1077</v>
      </c>
      <c r="B1077" t="str">
        <f>HYPERLINK("https://www.suredividend.com/sure-analysis-research-database/","Mercantile Bank Corp.")</f>
        <v>Mercantile Bank Corp.</v>
      </c>
      <c r="C1077">
        <v>-4.3533930857874013E-2</v>
      </c>
      <c r="D1077">
        <v>6.4511991791714005E-2</v>
      </c>
      <c r="E1077">
        <v>0.14337318047541001</v>
      </c>
      <c r="F1077">
        <v>-7.5037147102526E-2</v>
      </c>
      <c r="G1077">
        <v>0.14052418308237699</v>
      </c>
      <c r="H1077">
        <v>0.108762638706651</v>
      </c>
      <c r="I1077">
        <v>0.32220346003122302</v>
      </c>
    </row>
    <row r="1078" spans="1:9" x14ac:dyDescent="0.2">
      <c r="A1078" s="1" t="s">
        <v>1078</v>
      </c>
      <c r="B1078" t="str">
        <f>HYPERLINK("https://www.suredividend.com/sure-analysis-research-database/","Moelis &amp; Co")</f>
        <v>Moelis &amp; Co</v>
      </c>
      <c r="C1078">
        <v>3.8710101019575012E-2</v>
      </c>
      <c r="D1078">
        <v>0.25202943184952997</v>
      </c>
      <c r="E1078">
        <v>0.275130691108398</v>
      </c>
      <c r="F1078">
        <v>-2.9280098536709999E-3</v>
      </c>
      <c r="G1078">
        <v>0.28839052403545201</v>
      </c>
      <c r="H1078">
        <v>0.283742583760899</v>
      </c>
      <c r="I1078">
        <v>0.7331288343558281</v>
      </c>
    </row>
    <row r="1079" spans="1:9" x14ac:dyDescent="0.2">
      <c r="A1079" s="1" t="s">
        <v>1079</v>
      </c>
      <c r="B1079" t="str">
        <f>HYPERLINK("https://www.suredividend.com/sure-analysis-research-database/","Metropolitan Bank Holding Corp")</f>
        <v>Metropolitan Bank Holding Corp</v>
      </c>
      <c r="C1079">
        <v>-4.7888550282976998E-2</v>
      </c>
      <c r="D1079">
        <v>0.14352941176470499</v>
      </c>
      <c r="E1079">
        <v>2.9176470588234998E-2</v>
      </c>
      <c r="F1079">
        <v>-0.210184182015168</v>
      </c>
      <c r="G1079">
        <v>-0.25851839294795698</v>
      </c>
      <c r="H1079">
        <v>-0.57029177718832802</v>
      </c>
      <c r="I1079">
        <v>0.14773025452637101</v>
      </c>
    </row>
    <row r="1080" spans="1:9" x14ac:dyDescent="0.2">
      <c r="A1080" s="1" t="s">
        <v>1080</v>
      </c>
      <c r="B1080" t="str">
        <f>HYPERLINK("https://www.suredividend.com/sure-analysis-research-database/","Macatawa Bank Corp.")</f>
        <v>Macatawa Bank Corp.</v>
      </c>
      <c r="C1080">
        <v>-5.8212000111784012E-2</v>
      </c>
      <c r="D1080">
        <v>4.8244113347226003E-2</v>
      </c>
      <c r="E1080">
        <v>0.14679159246361601</v>
      </c>
      <c r="F1080">
        <v>-8.7438056811719012E-2</v>
      </c>
      <c r="G1080">
        <v>-1.3456415460728E-2</v>
      </c>
      <c r="H1080">
        <v>0.193413208994865</v>
      </c>
      <c r="I1080">
        <v>0.14834166288050801</v>
      </c>
    </row>
    <row r="1081" spans="1:9" x14ac:dyDescent="0.2">
      <c r="A1081" s="1" t="s">
        <v>1081</v>
      </c>
      <c r="B1081" t="str">
        <f>HYPERLINK("https://www.suredividend.com/sure-analysis-research-database/","MetroCity Bankshares Inc")</f>
        <v>MetroCity Bankshares Inc</v>
      </c>
      <c r="C1081">
        <v>3.2166573257927003E-2</v>
      </c>
      <c r="D1081">
        <v>0.16058129320551401</v>
      </c>
      <c r="E1081">
        <v>0.31061810928107297</v>
      </c>
      <c r="F1081">
        <v>2.9160245880818E-2</v>
      </c>
      <c r="G1081">
        <v>0.28154439014618299</v>
      </c>
      <c r="H1081">
        <v>6.741721040106001E-2</v>
      </c>
      <c r="I1081">
        <v>1.141491732661492</v>
      </c>
    </row>
    <row r="1082" spans="1:9" x14ac:dyDescent="0.2">
      <c r="A1082" s="1" t="s">
        <v>1082</v>
      </c>
      <c r="B1082" t="str">
        <f>HYPERLINK("https://www.suredividend.com/sure-analysis-research-database/","MasterCraft Boat Holdings Inc")</f>
        <v>MasterCraft Boat Holdings Inc</v>
      </c>
      <c r="C1082">
        <v>4.1505791505791013E-2</v>
      </c>
      <c r="D1082">
        <v>3.2042085126732997E-2</v>
      </c>
      <c r="E1082">
        <v>-0.175706646294881</v>
      </c>
      <c r="F1082">
        <v>-4.6819787985865002E-2</v>
      </c>
      <c r="G1082">
        <v>-0.36510738452486002</v>
      </c>
      <c r="H1082">
        <v>-0.22818311874105801</v>
      </c>
      <c r="I1082">
        <v>-5.6405771753388012E-2</v>
      </c>
    </row>
    <row r="1083" spans="1:9" x14ac:dyDescent="0.2">
      <c r="A1083" s="1" t="s">
        <v>1083</v>
      </c>
      <c r="B1083" t="str">
        <f>HYPERLINK("https://www.suredividend.com/sure-analysis-research-database/","Seres Therapeutics Inc")</f>
        <v>Seres Therapeutics Inc</v>
      </c>
      <c r="C1083">
        <v>-0.154471544715447</v>
      </c>
      <c r="D1083">
        <v>7.2054427378620001E-2</v>
      </c>
      <c r="E1083">
        <v>-0.70704225352112604</v>
      </c>
      <c r="F1083">
        <v>-0.25714285714285701</v>
      </c>
      <c r="G1083">
        <v>-0.80265654648956308</v>
      </c>
      <c r="H1083">
        <v>-0.87080745341614907</v>
      </c>
      <c r="I1083">
        <v>-0.82342954159592507</v>
      </c>
    </row>
    <row r="1084" spans="1:9" x14ac:dyDescent="0.2">
      <c r="A1084" s="1" t="s">
        <v>1084</v>
      </c>
      <c r="B1084" t="str">
        <f>HYPERLINK("https://www.suredividend.com/sure-analysis-research-database/","Monarch Casino &amp; Resort, Inc.")</f>
        <v>Monarch Casino &amp; Resort, Inc.</v>
      </c>
      <c r="C1084">
        <v>-3.5278553579300002E-3</v>
      </c>
      <c r="D1084">
        <v>5.9349513455567007E-2</v>
      </c>
      <c r="E1084">
        <v>4.6597439008950997E-2</v>
      </c>
      <c r="F1084">
        <v>-1.9667389732464999E-2</v>
      </c>
      <c r="G1084">
        <v>-5.8120325510503001E-2</v>
      </c>
      <c r="H1084">
        <v>-1.62239494992E-4</v>
      </c>
      <c r="I1084">
        <v>0.66000200796820507</v>
      </c>
    </row>
    <row r="1085" spans="1:9" x14ac:dyDescent="0.2">
      <c r="A1085" s="1" t="s">
        <v>1085</v>
      </c>
      <c r="B1085" t="str">
        <f>HYPERLINK("https://www.suredividend.com/sure-analysis-research-database/","Marcus Corp.")</f>
        <v>Marcus Corp.</v>
      </c>
      <c r="C1085">
        <v>7.1532846715328002E-2</v>
      </c>
      <c r="D1085">
        <v>-1.2644605864944E-2</v>
      </c>
      <c r="E1085">
        <v>-8.6485208278883008E-2</v>
      </c>
      <c r="F1085">
        <v>6.8587105624140004E-3</v>
      </c>
      <c r="G1085">
        <v>-5.9637435141886998E-2</v>
      </c>
      <c r="H1085">
        <v>-0.17456211869886701</v>
      </c>
      <c r="I1085">
        <v>-0.62248527101082907</v>
      </c>
    </row>
    <row r="1086" spans="1:9" x14ac:dyDescent="0.2">
      <c r="A1086" s="1" t="s">
        <v>1086</v>
      </c>
      <c r="B1086" t="str">
        <f>HYPERLINK("https://www.suredividend.com/sure-analysis-MCY/","Mercury General Corp.")</f>
        <v>Mercury General Corp.</v>
      </c>
      <c r="C1086">
        <v>0.24895448954489499</v>
      </c>
      <c r="D1086">
        <v>0.40911134671854898</v>
      </c>
      <c r="E1086">
        <v>0.78911869077530805</v>
      </c>
      <c r="F1086">
        <v>0.36076119002948198</v>
      </c>
      <c r="G1086">
        <v>0.44668604319826699</v>
      </c>
      <c r="H1086">
        <v>4.8988074620210003E-3</v>
      </c>
      <c r="I1086">
        <v>0.18220154475577</v>
      </c>
    </row>
    <row r="1087" spans="1:9" x14ac:dyDescent="0.2">
      <c r="A1087" s="1" t="s">
        <v>1087</v>
      </c>
      <c r="B1087" t="str">
        <f>HYPERLINK("https://www.suredividend.com/sure-analysis-research-database/","Pediatrix Medical Group Inc")</f>
        <v>Pediatrix Medical Group Inc</v>
      </c>
      <c r="C1087">
        <v>-9.2274678111587002E-2</v>
      </c>
      <c r="D1087">
        <v>-5.9999999999999012E-2</v>
      </c>
      <c r="E1087">
        <v>-0.43373493975903599</v>
      </c>
      <c r="F1087">
        <v>-9.0322580645161007E-2</v>
      </c>
      <c r="G1087">
        <v>-0.49371633752244098</v>
      </c>
      <c r="H1087">
        <v>-0.638152266894781</v>
      </c>
      <c r="I1087">
        <v>-0.76732673267326701</v>
      </c>
    </row>
    <row r="1088" spans="1:9" x14ac:dyDescent="0.2">
      <c r="A1088" s="1" t="s">
        <v>1088</v>
      </c>
      <c r="B1088" t="str">
        <f>HYPERLINK("https://www.suredividend.com/sure-analysis-MDC/","M.D.C. Holdings, Inc.")</f>
        <v>M.D.C. Holdings, Inc.</v>
      </c>
      <c r="C1088">
        <v>4.6415146605500003E-3</v>
      </c>
      <c r="D1088">
        <v>0.41258738091625702</v>
      </c>
      <c r="E1088">
        <v>0.37554493674654299</v>
      </c>
      <c r="F1088">
        <v>0.13901954483040699</v>
      </c>
      <c r="G1088">
        <v>0.74001818678835807</v>
      </c>
      <c r="H1088">
        <v>0.60040638725832207</v>
      </c>
      <c r="I1088">
        <v>1.8506406858354509</v>
      </c>
    </row>
    <row r="1089" spans="1:9" x14ac:dyDescent="0.2">
      <c r="A1089" s="1" t="s">
        <v>1089</v>
      </c>
      <c r="B1089" t="str">
        <f>HYPERLINK("https://www.suredividend.com/sure-analysis-research-database/","Madrigal Pharmaceuticals Inc")</f>
        <v>Madrigal Pharmaceuticals Inc</v>
      </c>
      <c r="C1089">
        <v>1.4261744966443E-2</v>
      </c>
      <c r="D1089">
        <v>0.208681925808997</v>
      </c>
      <c r="E1089">
        <v>0.27801268498942899</v>
      </c>
      <c r="F1089">
        <v>-7.2175641801360008E-3</v>
      </c>
      <c r="G1089">
        <v>-0.24285573024819501</v>
      </c>
      <c r="H1089">
        <v>1.6869809334425081</v>
      </c>
      <c r="I1089">
        <v>0.86771282218066503</v>
      </c>
    </row>
    <row r="1090" spans="1:9" x14ac:dyDescent="0.2">
      <c r="A1090" s="1" t="s">
        <v>1090</v>
      </c>
      <c r="B1090" t="str">
        <f>HYPERLINK("https://www.suredividend.com/sure-analysis-research-database/","Veradigm Inc")</f>
        <v>Veradigm Inc</v>
      </c>
      <c r="C1090">
        <v>-7.3170731707316999E-2</v>
      </c>
      <c r="D1090">
        <v>-0.33119999999999999</v>
      </c>
      <c r="E1090">
        <v>-0.36183206106870203</v>
      </c>
      <c r="F1090">
        <v>-0.203050524308865</v>
      </c>
      <c r="G1090">
        <v>-0.52768361581920908</v>
      </c>
      <c r="H1090">
        <v>-0.5899950956351151</v>
      </c>
      <c r="I1090">
        <v>-0.3125</v>
      </c>
    </row>
    <row r="1091" spans="1:9" x14ac:dyDescent="0.2">
      <c r="A1091" s="1" t="s">
        <v>1091</v>
      </c>
      <c r="B1091" t="str">
        <f>HYPERLINK("https://www.suredividend.com/sure-analysis-research-database/","Mimedx Group Inc")</f>
        <v>Mimedx Group Inc</v>
      </c>
      <c r="C1091">
        <v>-1.2285012285012E-2</v>
      </c>
      <c r="D1091">
        <v>0.121338912133891</v>
      </c>
      <c r="E1091">
        <v>8.0645161290322009E-2</v>
      </c>
      <c r="F1091">
        <v>-8.3238312428734001E-2</v>
      </c>
      <c r="G1091">
        <v>0.69978858350951301</v>
      </c>
      <c r="H1091">
        <v>0.77092511013215803</v>
      </c>
      <c r="I1091">
        <v>1.1967213114754089</v>
      </c>
    </row>
    <row r="1092" spans="1:9" x14ac:dyDescent="0.2">
      <c r="A1092" s="1" t="s">
        <v>1092</v>
      </c>
      <c r="B1092" t="str">
        <f>HYPERLINK("https://www.suredividend.com/sure-analysis-research-database/","23andMe Holding Co")</f>
        <v>23andMe Holding Co</v>
      </c>
      <c r="C1092">
        <v>7.5992119335770002E-3</v>
      </c>
      <c r="D1092">
        <v>-0.20988744206576901</v>
      </c>
      <c r="E1092">
        <v>-0.37192982456140311</v>
      </c>
      <c r="F1092">
        <v>-0.21620142309797399</v>
      </c>
      <c r="G1092">
        <v>-0.75052264808362301</v>
      </c>
      <c r="H1092">
        <v>-0.83873873873873805</v>
      </c>
      <c r="I1092">
        <v>-0.92693877551020409</v>
      </c>
    </row>
    <row r="1093" spans="1:9" x14ac:dyDescent="0.2">
      <c r="A1093" s="1" t="s">
        <v>1093</v>
      </c>
      <c r="B1093" t="str">
        <f>HYPERLINK("https://www.suredividend.com/sure-analysis-research-database/","Mayville Engineering Company Inc")</f>
        <v>Mayville Engineering Company Inc</v>
      </c>
      <c r="C1093">
        <v>-0.111277072442121</v>
      </c>
      <c r="D1093">
        <v>-6.2253743104805997E-2</v>
      </c>
      <c r="E1093">
        <v>1.5358361774743E-2</v>
      </c>
      <c r="F1093">
        <v>-0.17475728155339701</v>
      </c>
      <c r="G1093">
        <v>-0.26678989525569902</v>
      </c>
      <c r="H1093">
        <v>0.130104463437796</v>
      </c>
      <c r="I1093">
        <v>-0.27747419550698199</v>
      </c>
    </row>
    <row r="1094" spans="1:9" x14ac:dyDescent="0.2">
      <c r="A1094" s="1" t="s">
        <v>1094</v>
      </c>
      <c r="B1094" t="str">
        <f>HYPERLINK("https://www.suredividend.com/sure-analysis-research-database/","Medifast Inc")</f>
        <v>Medifast Inc</v>
      </c>
      <c r="C1094">
        <v>-8.1644144144144004E-2</v>
      </c>
      <c r="D1094">
        <v>-0.27511111111111097</v>
      </c>
      <c r="E1094">
        <v>-0.40718214640529199</v>
      </c>
      <c r="F1094">
        <v>-0.27209163939303699</v>
      </c>
      <c r="G1094">
        <v>-0.551005763606782</v>
      </c>
      <c r="H1094">
        <v>-0.69373556854833907</v>
      </c>
      <c r="I1094">
        <v>-0.54611989558809604</v>
      </c>
    </row>
    <row r="1095" spans="1:9" x14ac:dyDescent="0.2">
      <c r="A1095" s="1" t="s">
        <v>1095</v>
      </c>
      <c r="B1095" t="str">
        <f>HYPERLINK("https://www.suredividend.com/sure-analysis-research-database/","Montrose Environmental Group Inc")</f>
        <v>Montrose Environmental Group Inc</v>
      </c>
      <c r="C1095">
        <v>0.17055909412597201</v>
      </c>
      <c r="D1095">
        <v>3.2137285491418997E-2</v>
      </c>
      <c r="E1095">
        <v>-0.16253164556961999</v>
      </c>
      <c r="F1095">
        <v>2.9567382508558001E-2</v>
      </c>
      <c r="G1095">
        <v>-0.38375558867362097</v>
      </c>
      <c r="H1095">
        <v>-0.24371284865112</v>
      </c>
      <c r="I1095">
        <v>0.50363636363636299</v>
      </c>
    </row>
    <row r="1096" spans="1:9" x14ac:dyDescent="0.2">
      <c r="A1096" s="1" t="s">
        <v>1096</v>
      </c>
      <c r="B1096" t="str">
        <f>HYPERLINK("https://www.suredividend.com/sure-analysis-research-database/","Methode Electronics, Inc.")</f>
        <v>Methode Electronics, Inc.</v>
      </c>
      <c r="C1096">
        <v>6.3758389261744999E-2</v>
      </c>
      <c r="D1096">
        <v>-7.1847145480326002E-2</v>
      </c>
      <c r="E1096">
        <v>-0.28108831371634202</v>
      </c>
      <c r="F1096">
        <v>-1.7128278269187999E-2</v>
      </c>
      <c r="G1096">
        <v>-0.54431575488746509</v>
      </c>
      <c r="H1096">
        <v>-0.51406027930036902</v>
      </c>
      <c r="I1096">
        <v>-0.16426881995811901</v>
      </c>
    </row>
    <row r="1097" spans="1:9" x14ac:dyDescent="0.2">
      <c r="A1097" s="1" t="s">
        <v>1097</v>
      </c>
      <c r="B1097" t="str">
        <f>HYPERLINK("https://www.suredividend.com/sure-analysis-research-database/","Ramaco Resources Inc")</f>
        <v>Ramaco Resources Inc</v>
      </c>
      <c r="C1097">
        <v>-7.0769230769230002E-2</v>
      </c>
      <c r="D1097">
        <v>-0.103265509126945</v>
      </c>
      <c r="E1097">
        <v>0.12160292656657599</v>
      </c>
      <c r="F1097">
        <v>-9.241172051089401E-2</v>
      </c>
      <c r="G1097">
        <v>0.167488160819561</v>
      </c>
      <c r="H1097">
        <v>0.167488160819561</v>
      </c>
      <c r="I1097">
        <v>0.167488160819561</v>
      </c>
    </row>
    <row r="1098" spans="1:9" x14ac:dyDescent="0.2">
      <c r="A1098" s="1" t="s">
        <v>1098</v>
      </c>
      <c r="B1098" t="str">
        <f>HYPERLINK("https://www.suredividend.com/sure-analysis-research-database/","MFA Financial Inc")</f>
        <v>MFA Financial Inc</v>
      </c>
      <c r="C1098">
        <v>-6.5331010452961011E-2</v>
      </c>
      <c r="D1098">
        <v>4.8230317595223997E-2</v>
      </c>
      <c r="E1098">
        <v>0.116115543443211</v>
      </c>
      <c r="F1098">
        <v>-4.7914818101153001E-2</v>
      </c>
      <c r="G1098">
        <v>0.11391406355435101</v>
      </c>
      <c r="H1098">
        <v>-0.19042086043247899</v>
      </c>
      <c r="I1098">
        <v>-0.31243512027579401</v>
      </c>
    </row>
    <row r="1099" spans="1:9" x14ac:dyDescent="0.2">
      <c r="A1099" s="1" t="s">
        <v>1099</v>
      </c>
      <c r="B1099" t="str">
        <f>HYPERLINK("https://www.suredividend.com/sure-analysis-research-database/","Mistras Group Inc")</f>
        <v>Mistras Group Inc</v>
      </c>
      <c r="C1099">
        <v>0.115584415584415</v>
      </c>
      <c r="D1099">
        <v>0.30945121951219501</v>
      </c>
      <c r="E1099">
        <v>0.50701754385964903</v>
      </c>
      <c r="F1099">
        <v>0.17349726775956201</v>
      </c>
      <c r="G1099">
        <v>0.5533453887884261</v>
      </c>
      <c r="H1099">
        <v>0.28785607196401802</v>
      </c>
      <c r="I1099">
        <v>-0.46612802983219298</v>
      </c>
    </row>
    <row r="1100" spans="1:9" x14ac:dyDescent="0.2">
      <c r="A1100" s="1" t="s">
        <v>1100</v>
      </c>
      <c r="B1100" t="str">
        <f>HYPERLINK("https://www.suredividend.com/sure-analysis-MGEE/","MGE Energy, Inc.")</f>
        <v>MGE Energy, Inc.</v>
      </c>
      <c r="C1100">
        <v>-6.0286251264999008E-2</v>
      </c>
      <c r="D1100">
        <v>-0.105240263637514</v>
      </c>
      <c r="E1100">
        <v>-0.110882524327622</v>
      </c>
      <c r="F1100">
        <v>-0.101092518323883</v>
      </c>
      <c r="G1100">
        <v>-6.0614907029779001E-2</v>
      </c>
      <c r="H1100">
        <v>-4.6193578681692E-2</v>
      </c>
      <c r="I1100">
        <v>0.118177611331784</v>
      </c>
    </row>
    <row r="1101" spans="1:9" x14ac:dyDescent="0.2">
      <c r="A1101" s="1" t="s">
        <v>1101</v>
      </c>
      <c r="B1101" t="str">
        <f>HYPERLINK("https://www.suredividend.com/sure-analysis-research-database/","Magnite Inc")</f>
        <v>Magnite Inc</v>
      </c>
      <c r="C1101">
        <v>0.100558659217877</v>
      </c>
      <c r="D1101">
        <v>0.23899371069182301</v>
      </c>
      <c r="E1101">
        <v>0.23125000000000001</v>
      </c>
      <c r="F1101">
        <v>5.4603854389721013E-2</v>
      </c>
      <c r="G1101">
        <v>-0.284156976744186</v>
      </c>
      <c r="H1101">
        <v>-0.12210338680926899</v>
      </c>
      <c r="I1101">
        <v>1.002032520325203</v>
      </c>
    </row>
    <row r="1102" spans="1:9" x14ac:dyDescent="0.2">
      <c r="A1102" s="1" t="s">
        <v>1102</v>
      </c>
      <c r="B1102" t="str">
        <f>HYPERLINK("https://www.suredividend.com/sure-analysis-research-database/","Macrogenics Inc")</f>
        <v>Macrogenics Inc</v>
      </c>
      <c r="C1102">
        <v>0.43083333333333301</v>
      </c>
      <c r="D1102">
        <v>1.250327653997378</v>
      </c>
      <c r="E1102">
        <v>2.475708502024291</v>
      </c>
      <c r="F1102">
        <v>0.78482328482328501</v>
      </c>
      <c r="G1102">
        <v>1.5975794251134641</v>
      </c>
      <c r="H1102">
        <v>0.69329388560157801</v>
      </c>
      <c r="I1102">
        <v>-0.22762033288349001</v>
      </c>
    </row>
    <row r="1103" spans="1:9" x14ac:dyDescent="0.2">
      <c r="A1103" s="1" t="s">
        <v>1103</v>
      </c>
      <c r="B1103" t="str">
        <f>HYPERLINK("https://www.suredividend.com/sure-analysis-research-database/","MGP Ingredients, Inc.")</f>
        <v>MGP Ingredients, Inc.</v>
      </c>
      <c r="C1103">
        <v>1.7861104947858E-2</v>
      </c>
      <c r="D1103">
        <v>-3.2686859882299999E-4</v>
      </c>
      <c r="E1103">
        <v>-0.226505363879697</v>
      </c>
      <c r="F1103">
        <v>-6.8717011774258999E-2</v>
      </c>
      <c r="G1103">
        <v>-5.4504833618612997E-2</v>
      </c>
      <c r="H1103">
        <v>0.18631247535249901</v>
      </c>
      <c r="I1103">
        <v>0.24637464595488501</v>
      </c>
    </row>
    <row r="1104" spans="1:9" x14ac:dyDescent="0.2">
      <c r="A1104" s="1" t="s">
        <v>1104</v>
      </c>
      <c r="B1104" t="str">
        <f>HYPERLINK("https://www.suredividend.com/sure-analysis-MGRC/","McGrath Rentcorp")</f>
        <v>McGrath Rentcorp</v>
      </c>
      <c r="C1104">
        <v>0.16404270720231601</v>
      </c>
      <c r="D1104">
        <v>0.30332857860697299</v>
      </c>
      <c r="E1104">
        <v>0.33023548218322002</v>
      </c>
      <c r="F1104">
        <v>8.4654478741952005E-2</v>
      </c>
      <c r="G1104">
        <v>0.24284626769353199</v>
      </c>
      <c r="H1104">
        <v>0.81984586832039408</v>
      </c>
      <c r="I1104">
        <v>1.756281708487591</v>
      </c>
    </row>
    <row r="1105" spans="1:9" x14ac:dyDescent="0.2">
      <c r="A1105" s="1" t="s">
        <v>1105</v>
      </c>
      <c r="B1105" t="str">
        <f>HYPERLINK("https://www.suredividend.com/sure-analysis-research-database/","MeiraGTx Holdings plc")</f>
        <v>MeiraGTx Holdings plc</v>
      </c>
      <c r="C1105">
        <v>-3.5947712418300012E-2</v>
      </c>
      <c r="D1105">
        <v>4.2402826855122998E-2</v>
      </c>
      <c r="E1105">
        <v>1.69779286927E-3</v>
      </c>
      <c r="F1105">
        <v>-0.15954415954415899</v>
      </c>
      <c r="G1105">
        <v>-0.30011862396203998</v>
      </c>
      <c r="H1105">
        <v>-0.58066808813077408</v>
      </c>
      <c r="I1105">
        <v>-0.54404945904173108</v>
      </c>
    </row>
    <row r="1106" spans="1:9" x14ac:dyDescent="0.2">
      <c r="A1106" s="1" t="s">
        <v>1106</v>
      </c>
      <c r="B1106" t="str">
        <f>HYPERLINK("https://www.suredividend.com/sure-analysis-research-database/","Magnolia Oil &amp; Gas Corp")</f>
        <v>Magnolia Oil &amp; Gas Corp</v>
      </c>
      <c r="C1106">
        <v>9.8782665818159004E-2</v>
      </c>
      <c r="D1106">
        <v>-9.3237396756350004E-3</v>
      </c>
      <c r="E1106">
        <v>-5.3622182636331013E-2</v>
      </c>
      <c r="F1106">
        <v>1.20778085041E-2</v>
      </c>
      <c r="G1106">
        <v>3.1598423451638012E-2</v>
      </c>
      <c r="H1106">
        <v>8.1679154057181E-2</v>
      </c>
      <c r="I1106">
        <v>0.7785789644201131</v>
      </c>
    </row>
    <row r="1107" spans="1:9" x14ac:dyDescent="0.2">
      <c r="A1107" s="1" t="s">
        <v>1107</v>
      </c>
      <c r="B1107" t="str">
        <f>HYPERLINK("https://www.suredividend.com/sure-analysis-research-database/","Maiden Holdings Ltd")</f>
        <v>Maiden Holdings Ltd</v>
      </c>
      <c r="C1107">
        <v>-9.4117647058823001E-2</v>
      </c>
      <c r="D1107">
        <v>-8.8757396449704012E-2</v>
      </c>
      <c r="E1107">
        <v>-0.16076294277929101</v>
      </c>
      <c r="F1107">
        <v>-0.32751091703056701</v>
      </c>
      <c r="G1107">
        <v>-0.339055793991416</v>
      </c>
      <c r="H1107">
        <v>-0.41666666666666602</v>
      </c>
      <c r="I1107">
        <v>4.0540540540540002E-2</v>
      </c>
    </row>
    <row r="1108" spans="1:9" x14ac:dyDescent="0.2">
      <c r="A1108" s="1" t="s">
        <v>1108</v>
      </c>
      <c r="B1108" t="str">
        <f>HYPERLINK("https://www.suredividend.com/sure-analysis-research-database/","MI Homes Inc.")</f>
        <v>MI Homes Inc.</v>
      </c>
      <c r="C1108">
        <v>-0.11770428015564099</v>
      </c>
      <c r="D1108">
        <v>0.127031160389982</v>
      </c>
      <c r="E1108">
        <v>0.25143281681171697</v>
      </c>
      <c r="F1108">
        <v>-0.143966894148395</v>
      </c>
      <c r="G1108">
        <v>1.0667835232252409</v>
      </c>
      <c r="H1108">
        <v>1.4132214490380679</v>
      </c>
      <c r="I1108">
        <v>3.3111517367458858</v>
      </c>
    </row>
    <row r="1109" spans="1:9" x14ac:dyDescent="0.2">
      <c r="A1109" s="1" t="s">
        <v>1109</v>
      </c>
      <c r="B1109" t="str">
        <f>HYPERLINK("https://www.suredividend.com/sure-analysis-research-database/","Mirion Technologies Inc.")</f>
        <v>Mirion Technologies Inc.</v>
      </c>
      <c r="C1109">
        <v>3.8947368421052002E-2</v>
      </c>
      <c r="D1109">
        <v>0.117780294450736</v>
      </c>
      <c r="E1109">
        <v>0.298684210526315</v>
      </c>
      <c r="F1109">
        <v>-3.7073170731707003E-2</v>
      </c>
      <c r="G1109">
        <v>0.127999999999999</v>
      </c>
      <c r="H1109">
        <v>9.4235033259423007E-2</v>
      </c>
      <c r="I1109">
        <v>-8.0402010050249998E-3</v>
      </c>
    </row>
    <row r="1110" spans="1:9" x14ac:dyDescent="0.2">
      <c r="A1110" s="1" t="s">
        <v>1110</v>
      </c>
      <c r="B1110" t="str">
        <f>HYPERLINK("https://www.suredividend.com/sure-analysis-research-database/","Mirum Pharmaceuticals Inc")</f>
        <v>Mirum Pharmaceuticals Inc</v>
      </c>
      <c r="C1110">
        <v>0.104823395366502</v>
      </c>
      <c r="D1110">
        <v>-9.3769470404984012E-2</v>
      </c>
      <c r="E1110">
        <v>0.164997997597116</v>
      </c>
      <c r="F1110">
        <v>-1.4566395663956001E-2</v>
      </c>
      <c r="G1110">
        <v>0.22073017205203499</v>
      </c>
      <c r="H1110">
        <v>0.25821799307958399</v>
      </c>
      <c r="I1110">
        <v>1.202119606358818</v>
      </c>
    </row>
    <row r="1111" spans="1:9" x14ac:dyDescent="0.2">
      <c r="A1111" s="1" t="s">
        <v>1111</v>
      </c>
      <c r="B1111" t="str">
        <f>HYPERLINK("https://www.suredividend.com/sure-analysis-research-database/","Mitek Systems Inc")</f>
        <v>Mitek Systems Inc</v>
      </c>
      <c r="C1111">
        <v>-3.4398034398034003E-2</v>
      </c>
      <c r="D1111">
        <v>5.0802139037432012E-2</v>
      </c>
      <c r="E1111">
        <v>7.0844686648501007E-2</v>
      </c>
      <c r="F1111">
        <v>-9.5858895705521002E-2</v>
      </c>
      <c r="G1111">
        <v>0.201834862385321</v>
      </c>
      <c r="H1111">
        <v>-0.19850441876274599</v>
      </c>
      <c r="I1111">
        <v>7.5729927007299011E-2</v>
      </c>
    </row>
    <row r="1112" spans="1:9" x14ac:dyDescent="0.2">
      <c r="A1112" s="1" t="s">
        <v>1112</v>
      </c>
      <c r="B1112" t="str">
        <f>HYPERLINK("https://www.suredividend.com/sure-analysis-research-database/","Marketwise Inc")</f>
        <v>Marketwise Inc</v>
      </c>
      <c r="C1112">
        <v>-0.2</v>
      </c>
      <c r="D1112">
        <v>-0.37623858873980698</v>
      </c>
      <c r="E1112">
        <v>0.43006107552509998</v>
      </c>
      <c r="F1112">
        <v>-0.29670329670329598</v>
      </c>
      <c r="G1112">
        <v>8.5236264978521006E-2</v>
      </c>
      <c r="H1112">
        <v>-0.57255443252148308</v>
      </c>
      <c r="I1112">
        <v>-0.80545141351707306</v>
      </c>
    </row>
    <row r="1113" spans="1:9" x14ac:dyDescent="0.2">
      <c r="A1113" s="1" t="s">
        <v>1113</v>
      </c>
      <c r="B1113" t="str">
        <f>HYPERLINK("https://www.suredividend.com/sure-analysis-research-database/","Mesa Laboratories, Inc.")</f>
        <v>Mesa Laboratories, Inc.</v>
      </c>
      <c r="C1113">
        <v>0.13198859899144899</v>
      </c>
      <c r="D1113">
        <v>0.160186915257817</v>
      </c>
      <c r="E1113">
        <v>-0.24813398738734899</v>
      </c>
      <c r="F1113">
        <v>-1.4412522668702001E-2</v>
      </c>
      <c r="G1113">
        <v>-0.41519772331478499</v>
      </c>
      <c r="H1113">
        <v>-0.58818933719061806</v>
      </c>
      <c r="I1113">
        <v>-0.54710148900363609</v>
      </c>
    </row>
    <row r="1114" spans="1:9" x14ac:dyDescent="0.2">
      <c r="A1114" s="1" t="s">
        <v>1114</v>
      </c>
      <c r="B1114" t="str">
        <f>HYPERLINK("https://www.suredividend.com/sure-analysis-MLI/","Mueller Industries, Inc.")</f>
        <v>Mueller Industries, Inc.</v>
      </c>
      <c r="C1114">
        <v>4.9686757399006007E-2</v>
      </c>
      <c r="D1114">
        <v>0.179137111393148</v>
      </c>
      <c r="E1114">
        <v>0.30052620591085</v>
      </c>
      <c r="F1114">
        <v>3.0540827147401001E-2</v>
      </c>
      <c r="G1114">
        <v>0.32470733210104702</v>
      </c>
      <c r="H1114">
        <v>0.71579705641402303</v>
      </c>
      <c r="I1114">
        <v>2.1109147715632042</v>
      </c>
    </row>
    <row r="1115" spans="1:9" x14ac:dyDescent="0.2">
      <c r="A1115" s="1" t="s">
        <v>1115</v>
      </c>
      <c r="B1115" t="str">
        <f>HYPERLINK("https://www.suredividend.com/sure-analysis-research-database/","MillerKnoll Inc")</f>
        <v>MillerKnoll Inc</v>
      </c>
      <c r="C1115">
        <v>0.12775157232704301</v>
      </c>
      <c r="D1115">
        <v>0.12835921860435801</v>
      </c>
      <c r="E1115">
        <v>0.55837524850354703</v>
      </c>
      <c r="F1115">
        <v>7.5337331334332E-2</v>
      </c>
      <c r="G1115">
        <v>0.27716592918384197</v>
      </c>
      <c r="H1115">
        <v>-0.220852581180425</v>
      </c>
      <c r="I1115">
        <v>-0.18840169731258799</v>
      </c>
    </row>
    <row r="1116" spans="1:9" x14ac:dyDescent="0.2">
      <c r="A1116" s="1" t="s">
        <v>1116</v>
      </c>
      <c r="B1116" t="str">
        <f>HYPERLINK("https://www.suredividend.com/sure-analysis-research-database/","MeridianLink Inc")</f>
        <v>MeridianLink Inc</v>
      </c>
      <c r="C1116">
        <v>-0.16615384615384601</v>
      </c>
      <c r="D1116">
        <v>1.7703862660944002E-2</v>
      </c>
      <c r="E1116">
        <v>5.3888888888888001E-2</v>
      </c>
      <c r="F1116">
        <v>-0.23415421881307999</v>
      </c>
      <c r="G1116">
        <v>0.117196702002355</v>
      </c>
      <c r="H1116">
        <v>7.8453666856168003E-2</v>
      </c>
      <c r="I1116">
        <v>-0.228861788617886</v>
      </c>
    </row>
    <row r="1117" spans="1:9" x14ac:dyDescent="0.2">
      <c r="A1117" s="1" t="s">
        <v>1117</v>
      </c>
      <c r="B1117" t="str">
        <f>HYPERLINK("https://www.suredividend.com/sure-analysis-research-database/","Maui Land &amp; Pineapple Co., Inc.")</f>
        <v>Maui Land &amp; Pineapple Co., Inc.</v>
      </c>
      <c r="C1117">
        <v>2.5464190981431999E-2</v>
      </c>
      <c r="D1117">
        <v>0.39566787003609999</v>
      </c>
      <c r="E1117">
        <v>0.27506596306068598</v>
      </c>
      <c r="F1117">
        <v>0.21648835745751999</v>
      </c>
      <c r="G1117">
        <v>1.091991341991341</v>
      </c>
      <c r="H1117">
        <v>0.83986598389522304</v>
      </c>
      <c r="I1117">
        <v>0.57667210440456707</v>
      </c>
    </row>
    <row r="1118" spans="1:9" x14ac:dyDescent="0.2">
      <c r="A1118" s="1" t="s">
        <v>1118</v>
      </c>
      <c r="B1118" t="str">
        <f>HYPERLINK("https://www.suredividend.com/sure-analysis-MLR/","Miller Industries Inc.")</f>
        <v>Miller Industries Inc.</v>
      </c>
      <c r="C1118">
        <v>8.5917641077783005E-2</v>
      </c>
      <c r="D1118">
        <v>5.7787065878937997E-2</v>
      </c>
      <c r="E1118">
        <v>0.102423163273206</v>
      </c>
      <c r="F1118">
        <v>1.0167888389690001E-2</v>
      </c>
      <c r="G1118">
        <v>0.50336779724241809</v>
      </c>
      <c r="H1118">
        <v>0.505810695062759</v>
      </c>
      <c r="I1118">
        <v>0.46204234173186298</v>
      </c>
    </row>
    <row r="1119" spans="1:9" x14ac:dyDescent="0.2">
      <c r="A1119" s="1" t="s">
        <v>1119</v>
      </c>
      <c r="B1119" t="str">
        <f>HYPERLINK("https://www.suredividend.com/sure-analysis-research-database/","Mineralys Therapeutics Inc")</f>
        <v>Mineralys Therapeutics Inc</v>
      </c>
      <c r="C1119">
        <v>0.7445838084378561</v>
      </c>
      <c r="D1119">
        <v>1.379471228615863</v>
      </c>
      <c r="E1119">
        <v>0.25615763546797998</v>
      </c>
      <c r="F1119">
        <v>0.77906976744186007</v>
      </c>
      <c r="G1119">
        <v>-0.146681539319576</v>
      </c>
      <c r="H1119">
        <v>-0.17028199566160501</v>
      </c>
      <c r="I1119">
        <v>-0.17028199566160501</v>
      </c>
    </row>
    <row r="1120" spans="1:9" x14ac:dyDescent="0.2">
      <c r="A1120" s="1" t="s">
        <v>1120</v>
      </c>
      <c r="B1120" t="str">
        <f>HYPERLINK("https://www.suredividend.com/sure-analysis-research-database/","Marcus &amp; Millichap Inc")</f>
        <v>Marcus &amp; Millichap Inc</v>
      </c>
      <c r="C1120">
        <v>2.4403183023872E-2</v>
      </c>
      <c r="D1120">
        <v>0.17672151127361299</v>
      </c>
      <c r="E1120">
        <v>0.19494053144222001</v>
      </c>
      <c r="F1120">
        <v>-0.11584249084249</v>
      </c>
      <c r="G1120">
        <v>9.3539846813812014E-2</v>
      </c>
      <c r="H1120">
        <v>-0.18732034560980401</v>
      </c>
      <c r="I1120">
        <v>1.6318463995956999E-2</v>
      </c>
    </row>
    <row r="1121" spans="1:9" x14ac:dyDescent="0.2">
      <c r="A1121" s="1" t="s">
        <v>1121</v>
      </c>
      <c r="B1121" t="str">
        <f>HYPERLINK("https://www.suredividend.com/sure-analysis-MMS/","Maximus Inc.")</f>
        <v>Maximus Inc.</v>
      </c>
      <c r="C1121">
        <v>3.5803540053520001E-3</v>
      </c>
      <c r="D1121">
        <v>1.7415192916179999E-3</v>
      </c>
      <c r="E1121">
        <v>3.3900493406479E-2</v>
      </c>
      <c r="F1121">
        <v>-2.2388827848034001E-2</v>
      </c>
      <c r="G1121">
        <v>-1.320121247706E-2</v>
      </c>
      <c r="H1121">
        <v>0.101769332558174</v>
      </c>
      <c r="I1121">
        <v>0.21487779085004199</v>
      </c>
    </row>
    <row r="1122" spans="1:9" x14ac:dyDescent="0.2">
      <c r="A1122" s="1" t="s">
        <v>1122</v>
      </c>
      <c r="B1122" t="str">
        <f>HYPERLINK("https://www.suredividend.com/sure-analysis-research-database/","Merit Medical Systems, Inc.")</f>
        <v>Merit Medical Systems, Inc.</v>
      </c>
      <c r="C1122">
        <v>1.2025316455695999E-2</v>
      </c>
      <c r="D1122">
        <v>0.113354685976883</v>
      </c>
      <c r="E1122">
        <v>0.17625422980726799</v>
      </c>
      <c r="F1122">
        <v>5.2527646129542013E-2</v>
      </c>
      <c r="G1122">
        <v>0.14263255681006101</v>
      </c>
      <c r="H1122">
        <v>0.40781827786582098</v>
      </c>
      <c r="I1122">
        <v>0.31323915900131399</v>
      </c>
    </row>
    <row r="1123" spans="1:9" x14ac:dyDescent="0.2">
      <c r="A1123" s="1" t="s">
        <v>1123</v>
      </c>
      <c r="B1123" t="str">
        <f>HYPERLINK("https://www.suredividend.com/sure-analysis-research-database/","Mannkind Corp")</f>
        <v>Mannkind Corp</v>
      </c>
      <c r="C1123">
        <v>7.1428571428571008E-2</v>
      </c>
      <c r="D1123">
        <v>-4.2553191489361E-2</v>
      </c>
      <c r="E1123">
        <v>-0.27710843373493899</v>
      </c>
      <c r="F1123">
        <v>-1.0989010989009999E-2</v>
      </c>
      <c r="G1123">
        <v>-0.36056838365896898</v>
      </c>
      <c r="H1123">
        <v>-6.7357512953367005E-2</v>
      </c>
      <c r="I1123">
        <v>1.4489795918367341</v>
      </c>
    </row>
    <row r="1124" spans="1:9" x14ac:dyDescent="0.2">
      <c r="A1124" s="1" t="s">
        <v>1124</v>
      </c>
      <c r="B1124" t="str">
        <f>HYPERLINK("https://www.suredividend.com/sure-analysis-research-database/","Monro Inc")</f>
        <v>Monro Inc</v>
      </c>
      <c r="C1124">
        <v>9.4654409261150013E-2</v>
      </c>
      <c r="D1124">
        <v>0.13263249862604401</v>
      </c>
      <c r="E1124">
        <v>-2.6878140323264001E-2</v>
      </c>
      <c r="F1124">
        <v>9.5773687798227009E-2</v>
      </c>
      <c r="G1124">
        <v>-0.37579966566937001</v>
      </c>
      <c r="H1124">
        <v>-0.27291724147289098</v>
      </c>
      <c r="I1124">
        <v>-0.52403159305071301</v>
      </c>
    </row>
    <row r="1125" spans="1:9" x14ac:dyDescent="0.2">
      <c r="A1125" s="1" t="s">
        <v>1125</v>
      </c>
      <c r="B1125" t="str">
        <f>HYPERLINK("https://www.suredividend.com/sure-analysis-research-database/","MainStreet Bancshares Inc")</f>
        <v>MainStreet Bancshares Inc</v>
      </c>
      <c r="C1125">
        <v>-0.177383531218294</v>
      </c>
      <c r="D1125">
        <v>-0.182189913675602</v>
      </c>
      <c r="E1125">
        <v>-0.20113261642382499</v>
      </c>
      <c r="F1125">
        <v>-0.266906958274787</v>
      </c>
      <c r="G1125">
        <v>-0.36592926588699398</v>
      </c>
      <c r="H1125">
        <v>-0.25231781477420001</v>
      </c>
      <c r="I1125">
        <v>1.3115448824964679</v>
      </c>
    </row>
    <row r="1126" spans="1:9" x14ac:dyDescent="0.2">
      <c r="A1126" s="1" t="s">
        <v>1126</v>
      </c>
      <c r="B1126" t="str">
        <f>HYPERLINK("https://www.suredividend.com/sure-analysis-research-database/","Montauk Renewables Inc")</f>
        <v>Montauk Renewables Inc</v>
      </c>
      <c r="C1126">
        <v>-0.151147098515519</v>
      </c>
      <c r="D1126">
        <v>-0.32146709816612701</v>
      </c>
      <c r="E1126">
        <v>-0.35750766087844699</v>
      </c>
      <c r="F1126">
        <v>-0.29405162738495999</v>
      </c>
      <c r="G1126">
        <v>-0.40209125475285101</v>
      </c>
      <c r="H1126">
        <v>-0.37907206317867698</v>
      </c>
      <c r="I1126">
        <v>-0.46376811594202899</v>
      </c>
    </row>
    <row r="1127" spans="1:9" x14ac:dyDescent="0.2">
      <c r="A1127" s="1" t="s">
        <v>1127</v>
      </c>
      <c r="B1127" t="str">
        <f>HYPERLINK("https://www.suredividend.com/sure-analysis-research-database/","Modine Manufacturing Co.")</f>
        <v>Modine Manufacturing Co.</v>
      </c>
      <c r="C1127">
        <v>0.17241899020346599</v>
      </c>
      <c r="D1127">
        <v>0.50057870370370305</v>
      </c>
      <c r="E1127">
        <v>0.88399128118188408</v>
      </c>
      <c r="F1127">
        <v>0.30301507537688399</v>
      </c>
      <c r="G1127">
        <v>2.1609101991060542</v>
      </c>
      <c r="H1127">
        <v>6.4369024856596564</v>
      </c>
      <c r="I1127">
        <v>3.8832391713747638</v>
      </c>
    </row>
    <row r="1128" spans="1:9" x14ac:dyDescent="0.2">
      <c r="A1128" s="1" t="s">
        <v>1128</v>
      </c>
      <c r="B1128" t="str">
        <f>HYPERLINK("https://www.suredividend.com/sure-analysis-research-database/","Topgolf Callaway Brands Corp")</f>
        <v>Topgolf Callaway Brands Corp</v>
      </c>
      <c r="C1128">
        <v>4.7379755922469013E-2</v>
      </c>
      <c r="D1128">
        <v>0.213810316139767</v>
      </c>
      <c r="E1128">
        <v>-0.109823062843197</v>
      </c>
      <c r="F1128">
        <v>1.7433751743375001E-2</v>
      </c>
      <c r="G1128">
        <v>-0.38723225535489197</v>
      </c>
      <c r="H1128">
        <v>-0.37596236099230101</v>
      </c>
      <c r="I1128">
        <v>-0.14233984269372199</v>
      </c>
    </row>
    <row r="1129" spans="1:9" x14ac:dyDescent="0.2">
      <c r="A1129" s="1" t="s">
        <v>1129</v>
      </c>
      <c r="B1129" t="str">
        <f>HYPERLINK("https://www.suredividend.com/sure-analysis-research-database/","Model N Inc")</f>
        <v>Model N Inc</v>
      </c>
      <c r="C1129">
        <v>-8.7832973362131E-2</v>
      </c>
      <c r="D1129">
        <v>4.1940789473684001E-2</v>
      </c>
      <c r="E1129">
        <v>-8.8161209068010005E-2</v>
      </c>
      <c r="F1129">
        <v>-5.9041960638692013E-2</v>
      </c>
      <c r="G1129">
        <v>-0.282559456398641</v>
      </c>
      <c r="H1129">
        <v>3.167062549485E-3</v>
      </c>
      <c r="I1129">
        <v>0.50118483412322201</v>
      </c>
    </row>
    <row r="1130" spans="1:9" x14ac:dyDescent="0.2">
      <c r="A1130" s="1" t="s">
        <v>1130</v>
      </c>
      <c r="B1130" t="str">
        <f>HYPERLINK("https://www.suredividend.com/sure-analysis-research-database/","ModivCare Inc")</f>
        <v>ModivCare Inc</v>
      </c>
      <c r="C1130">
        <v>0.175951600705823</v>
      </c>
      <c r="D1130">
        <v>0.13669590643274801</v>
      </c>
      <c r="E1130">
        <v>0.13365735115431299</v>
      </c>
      <c r="F1130">
        <v>6.0468288247328007E-2</v>
      </c>
      <c r="G1130">
        <v>-0.526636225266362</v>
      </c>
      <c r="H1130">
        <v>-0.54611792177466401</v>
      </c>
      <c r="I1130">
        <v>-0.37205545833894199</v>
      </c>
    </row>
    <row r="1131" spans="1:9" x14ac:dyDescent="0.2">
      <c r="A1131" s="1" t="s">
        <v>1131</v>
      </c>
      <c r="B1131" t="str">
        <f>HYPERLINK("https://www.suredividend.com/sure-analysis-research-database/","MidWestOne Financial Group Inc")</f>
        <v>MidWestOne Financial Group Inc</v>
      </c>
      <c r="C1131">
        <v>-8.1785855393125009E-2</v>
      </c>
      <c r="D1131">
        <v>9.6303983772436014E-2</v>
      </c>
      <c r="E1131">
        <v>6.6647083931907006E-2</v>
      </c>
      <c r="F1131">
        <v>-0.13638052768487499</v>
      </c>
      <c r="G1131">
        <v>-0.195733650794749</v>
      </c>
      <c r="H1131">
        <v>-0.17587191262256399</v>
      </c>
      <c r="I1131">
        <v>-6.0873500792033998E-2</v>
      </c>
    </row>
    <row r="1132" spans="1:9" x14ac:dyDescent="0.2">
      <c r="A1132" s="1" t="s">
        <v>1132</v>
      </c>
      <c r="B1132" t="str">
        <f>HYPERLINK("https://www.suredividend.com/sure-analysis-research-database/","Mondee Holdings Inc")</f>
        <v>Mondee Holdings Inc</v>
      </c>
      <c r="C1132">
        <v>-4.3668122270742002E-2</v>
      </c>
      <c r="D1132">
        <v>-0.27483443708609201</v>
      </c>
      <c r="E1132">
        <v>-0.66411042944785204</v>
      </c>
      <c r="F1132">
        <v>-0.20652173913043401</v>
      </c>
      <c r="G1132">
        <v>-0.82151589242053702</v>
      </c>
      <c r="H1132">
        <v>-0.7615677735438211</v>
      </c>
      <c r="I1132">
        <v>-0.7615677735438211</v>
      </c>
    </row>
    <row r="1133" spans="1:9" x14ac:dyDescent="0.2">
      <c r="A1133" s="1" t="s">
        <v>1133</v>
      </c>
      <c r="B1133" t="str">
        <f>HYPERLINK("https://www.suredividend.com/sure-analysis-research-database/","Morphic Holding Inc")</f>
        <v>Morphic Holding Inc</v>
      </c>
      <c r="C1133">
        <v>0.34834834834834799</v>
      </c>
      <c r="D1133">
        <v>0.49107513491075111</v>
      </c>
      <c r="E1133">
        <v>-0.33751383253411998</v>
      </c>
      <c r="F1133">
        <v>0.24376731301939</v>
      </c>
      <c r="G1133">
        <v>-0.14312977099236601</v>
      </c>
      <c r="H1133">
        <v>-0.101325994495871</v>
      </c>
      <c r="I1133">
        <v>0.99555555555555508</v>
      </c>
    </row>
    <row r="1134" spans="1:9" x14ac:dyDescent="0.2">
      <c r="A1134" s="1" t="s">
        <v>1134</v>
      </c>
      <c r="B1134" t="str">
        <f>HYPERLINK("https://www.suredividend.com/sure-analysis-research-database/","Movado Group, Inc.")</f>
        <v>Movado Group, Inc.</v>
      </c>
      <c r="C1134">
        <v>1.8368067820557998E-2</v>
      </c>
      <c r="D1134">
        <v>-2.5636501395990001E-3</v>
      </c>
      <c r="E1134">
        <v>7.4823845207471013E-2</v>
      </c>
      <c r="F1134">
        <v>-4.3781094527363E-2</v>
      </c>
      <c r="G1134">
        <v>-0.12383869879562</v>
      </c>
      <c r="H1134">
        <v>-0.191333836353793</v>
      </c>
      <c r="I1134">
        <v>4.6626382587240008E-3</v>
      </c>
    </row>
    <row r="1135" spans="1:9" x14ac:dyDescent="0.2">
      <c r="A1135" s="1" t="s">
        <v>1135</v>
      </c>
      <c r="B1135" t="str">
        <f>HYPERLINK("https://www.suredividend.com/sure-analysis-research-database/","Mid Penn Bancorp, Inc.")</f>
        <v>Mid Penn Bancorp, Inc.</v>
      </c>
      <c r="C1135">
        <v>-6.2711502155095009E-2</v>
      </c>
      <c r="D1135">
        <v>6.5125521123000007E-4</v>
      </c>
      <c r="E1135">
        <v>1.2603425052915E-2</v>
      </c>
      <c r="F1135">
        <v>-0.11598079935493801</v>
      </c>
      <c r="G1135">
        <v>-0.28099328813211899</v>
      </c>
      <c r="H1135">
        <v>-0.18623126495614101</v>
      </c>
      <c r="I1135">
        <v>8.8524725800362011E-2</v>
      </c>
    </row>
    <row r="1136" spans="1:9" x14ac:dyDescent="0.2">
      <c r="A1136" s="1" t="s">
        <v>1136</v>
      </c>
      <c r="B1136" t="str">
        <f>HYPERLINK("https://www.suredividend.com/sure-analysis-research-database/","MultiPlan Corp")</f>
        <v>MultiPlan Corp</v>
      </c>
      <c r="C1136">
        <v>8.333333333333301E-2</v>
      </c>
      <c r="D1136">
        <v>-8.59375E-2</v>
      </c>
      <c r="E1136">
        <v>-0.26415094339622602</v>
      </c>
      <c r="F1136">
        <v>-0.1875</v>
      </c>
      <c r="G1136">
        <v>4.4642857142856013E-2</v>
      </c>
      <c r="H1136">
        <v>-0.72663551401869109</v>
      </c>
      <c r="I1136">
        <v>-0.8796296296296291</v>
      </c>
    </row>
    <row r="1137" spans="1:9" x14ac:dyDescent="0.2">
      <c r="A1137" s="1" t="s">
        <v>1137</v>
      </c>
      <c r="B1137" t="str">
        <f>HYPERLINK("https://www.suredividend.com/sure-analysis-research-database/","Marine Products Corp")</f>
        <v>Marine Products Corp</v>
      </c>
      <c r="C1137">
        <v>-1.2801851229798E-2</v>
      </c>
      <c r="D1137">
        <v>7.4242547315408011E-2</v>
      </c>
      <c r="E1137">
        <v>-0.34590417310664601</v>
      </c>
      <c r="F1137">
        <v>-5.9563914987422008E-2</v>
      </c>
      <c r="G1137">
        <v>-0.19249585944237901</v>
      </c>
      <c r="H1137">
        <v>-4.3909668440885001E-2</v>
      </c>
      <c r="I1137">
        <v>-0.14940828402366799</v>
      </c>
    </row>
    <row r="1138" spans="1:9" x14ac:dyDescent="0.2">
      <c r="A1138" s="1" t="s">
        <v>1138</v>
      </c>
      <c r="B1138" t="str">
        <f>HYPERLINK("https://www.suredividend.com/sure-analysis-research-database/","Marqeta Inc")</f>
        <v>Marqeta Inc</v>
      </c>
      <c r="C1138">
        <v>8.333333333333301E-2</v>
      </c>
      <c r="D1138">
        <v>7.7943615257048002E-2</v>
      </c>
      <c r="E1138">
        <v>0.13636363636363599</v>
      </c>
      <c r="F1138">
        <v>-6.8767908309455006E-2</v>
      </c>
      <c r="G1138">
        <v>9.4276094276094013E-2</v>
      </c>
      <c r="H1138">
        <v>-0.34804413239719101</v>
      </c>
      <c r="I1138">
        <v>-0.78702490170380002</v>
      </c>
    </row>
    <row r="1139" spans="1:9" x14ac:dyDescent="0.2">
      <c r="A1139" s="1" t="s">
        <v>1139</v>
      </c>
      <c r="B1139" t="str">
        <f>HYPERLINK("https://www.suredividend.com/sure-analysis-research-database/","MRC Global Inc")</f>
        <v>MRC Global Inc</v>
      </c>
      <c r="C1139">
        <v>0.14858260019550301</v>
      </c>
      <c r="D1139">
        <v>7.6007326007325002E-2</v>
      </c>
      <c r="E1139">
        <v>0.28555798687089701</v>
      </c>
      <c r="F1139">
        <v>6.7211625794731999E-2</v>
      </c>
      <c r="G1139">
        <v>2.1739130434782001E-2</v>
      </c>
      <c r="H1139">
        <v>0.218879668049792</v>
      </c>
      <c r="I1139">
        <v>-0.37632696390658099</v>
      </c>
    </row>
    <row r="1140" spans="1:9" x14ac:dyDescent="0.2">
      <c r="A1140" s="1" t="s">
        <v>1140</v>
      </c>
      <c r="B1140" t="str">
        <f>HYPERLINK("https://www.suredividend.com/sure-analysis-research-database/","Marinus Pharmaceuticals Inc")</f>
        <v>Marinus Pharmaceuticals Inc</v>
      </c>
      <c r="C1140">
        <v>-7.2840790842870007E-3</v>
      </c>
      <c r="D1140">
        <v>0.55628058727569307</v>
      </c>
      <c r="E1140">
        <v>0.35319148936170203</v>
      </c>
      <c r="F1140">
        <v>-0.122355105795768</v>
      </c>
      <c r="G1140">
        <v>0.303278688524589</v>
      </c>
      <c r="H1140">
        <v>-0.14821428571428499</v>
      </c>
      <c r="I1140">
        <v>-0.35540540540540511</v>
      </c>
    </row>
    <row r="1141" spans="1:9" x14ac:dyDescent="0.2">
      <c r="A1141" s="1" t="s">
        <v>1141</v>
      </c>
      <c r="B1141" t="str">
        <f>HYPERLINK("https://www.suredividend.com/sure-analysis-research-database/","Mersana Therapeutics Inc")</f>
        <v>Mersana Therapeutics Inc</v>
      </c>
      <c r="C1141">
        <v>0.33948339483394802</v>
      </c>
      <c r="D1141">
        <v>1.2687499999999989</v>
      </c>
      <c r="E1141">
        <v>1.9512195121951219</v>
      </c>
      <c r="F1141">
        <v>0.56465517241379304</v>
      </c>
      <c r="G1141">
        <v>-0.40394088669950701</v>
      </c>
      <c r="H1141">
        <v>-6.2015503875968013E-2</v>
      </c>
      <c r="I1141">
        <v>-0.48216833095577699</v>
      </c>
    </row>
    <row r="1142" spans="1:9" x14ac:dyDescent="0.2">
      <c r="A1142" s="1" t="s">
        <v>1142</v>
      </c>
      <c r="B1142" t="str">
        <f>HYPERLINK("https://www.suredividend.com/sure-analysis-research-database/","Marten Transport, Ltd.")</f>
        <v>Marten Transport, Ltd.</v>
      </c>
      <c r="C1142">
        <v>-4.4836272040302001E-2</v>
      </c>
      <c r="D1142">
        <v>3.2899145243270013E-2</v>
      </c>
      <c r="E1142">
        <v>-0.118909976392735</v>
      </c>
      <c r="F1142">
        <v>-9.6282173498570003E-2</v>
      </c>
      <c r="G1142">
        <v>-0.13996443734804201</v>
      </c>
      <c r="H1142">
        <v>0.17339802700795801</v>
      </c>
      <c r="I1142">
        <v>0.66407751652228808</v>
      </c>
    </row>
    <row r="1143" spans="1:9" x14ac:dyDescent="0.2">
      <c r="A1143" s="1" t="s">
        <v>1143</v>
      </c>
      <c r="B1143" t="str">
        <f>HYPERLINK("https://www.suredividend.com/sure-analysis-research-database/","Midland States Bancorp Inc")</f>
        <v>Midland States Bancorp Inc</v>
      </c>
      <c r="C1143">
        <v>-4.1146900018618003E-2</v>
      </c>
      <c r="D1143">
        <v>7.9678716964320009E-2</v>
      </c>
      <c r="E1143">
        <v>0.172664395973472</v>
      </c>
      <c r="F1143">
        <v>-7.9764878437387013E-2</v>
      </c>
      <c r="G1143">
        <v>2.8042435861713001E-2</v>
      </c>
      <c r="H1143">
        <v>-4.0544002235625001E-2</v>
      </c>
      <c r="I1143">
        <v>0.29804662885948302</v>
      </c>
    </row>
    <row r="1144" spans="1:9" x14ac:dyDescent="0.2">
      <c r="A1144" s="1" t="s">
        <v>1144</v>
      </c>
      <c r="B1144" t="str">
        <f>HYPERLINK("https://www.suredividend.com/sure-analysis-MSEX/","Middlesex Water Co.")</f>
        <v>Middlesex Water Co.</v>
      </c>
      <c r="C1144">
        <v>-2.4735032159243001E-2</v>
      </c>
      <c r="D1144">
        <v>-0.11811490486224201</v>
      </c>
      <c r="E1144">
        <v>-0.28212593480618797</v>
      </c>
      <c r="F1144">
        <v>-0.14660686385348701</v>
      </c>
      <c r="G1144">
        <v>-0.33578387826345801</v>
      </c>
      <c r="H1144">
        <v>-0.40088313702050599</v>
      </c>
      <c r="I1144">
        <v>5.0178129798447997E-2</v>
      </c>
    </row>
    <row r="1145" spans="1:9" x14ac:dyDescent="0.2">
      <c r="A1145" s="1" t="s">
        <v>1145</v>
      </c>
      <c r="B1145" t="str">
        <f>HYPERLINK("https://www.suredividend.com/sure-analysis-research-database/","Madison Square Garden Entertainment Corp.")</f>
        <v>Madison Square Garden Entertainment Corp.</v>
      </c>
      <c r="C1145">
        <v>0.13351254480286701</v>
      </c>
      <c r="D1145">
        <v>0.25371655104063401</v>
      </c>
      <c r="E1145">
        <v>0.157012195121951</v>
      </c>
      <c r="F1145">
        <v>0.19377162629757699</v>
      </c>
      <c r="G1145">
        <v>0.18593750000000001</v>
      </c>
      <c r="H1145">
        <v>0.18593750000000001</v>
      </c>
      <c r="I1145">
        <v>0.18593750000000001</v>
      </c>
    </row>
    <row r="1146" spans="1:9" x14ac:dyDescent="0.2">
      <c r="A1146" s="1" t="s">
        <v>1146</v>
      </c>
      <c r="B1146" t="str">
        <f>HYPERLINK("https://www.suredividend.com/sure-analysis-research-database/","Microstrategy Inc.")</f>
        <v>Microstrategy Inc.</v>
      </c>
      <c r="C1146">
        <v>0.46565488565488511</v>
      </c>
      <c r="D1146">
        <v>0.38630955892474411</v>
      </c>
      <c r="E1146">
        <v>1.1452741768608119</v>
      </c>
      <c r="F1146">
        <v>0.116145783857382</v>
      </c>
      <c r="G1146">
        <v>1.3974834211868721</v>
      </c>
      <c r="H1146">
        <v>0.78038740308609211</v>
      </c>
      <c r="I1146">
        <v>4.0205098988748036</v>
      </c>
    </row>
    <row r="1147" spans="1:9" x14ac:dyDescent="0.2">
      <c r="A1147" s="1" t="s">
        <v>1147</v>
      </c>
      <c r="B1147" t="str">
        <f>HYPERLINK("https://www.suredividend.com/sure-analysis-research-database/","Matador Resources Co")</f>
        <v>Matador Resources Co</v>
      </c>
      <c r="C1147">
        <v>9.8149186763881013E-2</v>
      </c>
      <c r="D1147">
        <v>5.9941770851170001E-3</v>
      </c>
      <c r="E1147">
        <v>-3.3404640447589E-2</v>
      </c>
      <c r="F1147">
        <v>3.3063665142455012E-2</v>
      </c>
      <c r="G1147">
        <v>8.1264534509530011E-3</v>
      </c>
      <c r="H1147">
        <v>0.33748041823017211</v>
      </c>
      <c r="I1147">
        <v>2.1681993473746659</v>
      </c>
    </row>
    <row r="1148" spans="1:9" x14ac:dyDescent="0.2">
      <c r="A1148" s="1" t="s">
        <v>1148</v>
      </c>
      <c r="B1148" t="str">
        <f>HYPERLINK("https://www.suredividend.com/sure-analysis-research-database/","Meritage Homes Corp.")</f>
        <v>Meritage Homes Corp.</v>
      </c>
      <c r="C1148">
        <v>-0.13436009424745601</v>
      </c>
      <c r="D1148">
        <v>5.6664075806510013E-2</v>
      </c>
      <c r="E1148">
        <v>0.121455666280762</v>
      </c>
      <c r="F1148">
        <v>-0.135304247990815</v>
      </c>
      <c r="G1148">
        <v>0.39316780813999103</v>
      </c>
      <c r="H1148">
        <v>0.62561177632324405</v>
      </c>
      <c r="I1148">
        <v>2.3890487579337658</v>
      </c>
    </row>
    <row r="1149" spans="1:9" x14ac:dyDescent="0.2">
      <c r="A1149" s="1" t="s">
        <v>1149</v>
      </c>
      <c r="B1149" t="str">
        <f>HYPERLINK("https://www.suredividend.com/sure-analysis-research-database/","Materion Corp")</f>
        <v>Materion Corp</v>
      </c>
      <c r="C1149">
        <v>9.6854736683882003E-2</v>
      </c>
      <c r="D1149">
        <v>0.15892491295931199</v>
      </c>
      <c r="E1149">
        <v>0.25857937194637598</v>
      </c>
      <c r="F1149">
        <v>1.0374511639499E-2</v>
      </c>
      <c r="G1149">
        <v>0.180127850927435</v>
      </c>
      <c r="H1149">
        <v>0.51493132926429808</v>
      </c>
      <c r="I1149">
        <v>1.3430587664468989</v>
      </c>
    </row>
    <row r="1150" spans="1:9" x14ac:dyDescent="0.2">
      <c r="A1150" s="1" t="s">
        <v>1150</v>
      </c>
      <c r="B1150" t="str">
        <f>HYPERLINK("https://www.suredividend.com/sure-analysis-research-database/","MACOM Technology Solutions Holdings Inc")</f>
        <v>MACOM Technology Solutions Holdings Inc</v>
      </c>
      <c r="C1150">
        <v>-7.2638688960247999E-2</v>
      </c>
      <c r="D1150">
        <v>-3.3321432821609999E-3</v>
      </c>
      <c r="E1150">
        <v>0.164650257266027</v>
      </c>
      <c r="F1150">
        <v>-9.8977945131791006E-2</v>
      </c>
      <c r="G1150">
        <v>0.232523914643119</v>
      </c>
      <c r="H1150">
        <v>0.42796248934356301</v>
      </c>
      <c r="I1150">
        <v>3.712999437253798</v>
      </c>
    </row>
    <row r="1151" spans="1:9" x14ac:dyDescent="0.2">
      <c r="A1151" s="1" t="s">
        <v>1151</v>
      </c>
      <c r="B1151" t="str">
        <f>HYPERLINK("https://www.suredividend.com/sure-analysis-research-database/","Matterport Inc")</f>
        <v>Matterport Inc</v>
      </c>
      <c r="C1151">
        <v>0.128888888888888</v>
      </c>
      <c r="D1151">
        <v>-3.7878787878787012E-2</v>
      </c>
      <c r="E1151">
        <v>2.4193548387096E-2</v>
      </c>
      <c r="F1151">
        <v>-5.5762081784386013E-2</v>
      </c>
      <c r="G1151">
        <v>-0.29444444444444401</v>
      </c>
      <c r="H1151">
        <v>-0.62811127379209308</v>
      </c>
      <c r="I1151">
        <v>-0.76396684384641111</v>
      </c>
    </row>
    <row r="1152" spans="1:9" x14ac:dyDescent="0.2">
      <c r="A1152" s="1" t="s">
        <v>1152</v>
      </c>
      <c r="B1152" t="str">
        <f>HYPERLINK("https://www.suredividend.com/sure-analysis-research-database/","Manitowoc Co., Inc.")</f>
        <v>Manitowoc Co., Inc.</v>
      </c>
      <c r="C1152">
        <v>-0.14111610006414299</v>
      </c>
      <c r="D1152">
        <v>-8.3504449007529E-2</v>
      </c>
      <c r="E1152">
        <v>-0.14876033057851201</v>
      </c>
      <c r="F1152">
        <v>-0.197723187537447</v>
      </c>
      <c r="G1152">
        <v>-6.754874651810501E-2</v>
      </c>
      <c r="H1152">
        <v>-0.23485714285714199</v>
      </c>
      <c r="I1152">
        <v>-0.27972027972027902</v>
      </c>
    </row>
    <row r="1153" spans="1:9" x14ac:dyDescent="0.2">
      <c r="A1153" s="1" t="s">
        <v>1153</v>
      </c>
      <c r="B1153" t="str">
        <f>HYPERLINK("https://www.suredividend.com/sure-analysis-research-database/","Minerals Technologies, Inc.")</f>
        <v>Minerals Technologies, Inc.</v>
      </c>
      <c r="C1153">
        <v>9.4486706852937002E-2</v>
      </c>
      <c r="D1153">
        <v>0.14652132093619699</v>
      </c>
      <c r="E1153">
        <v>0.24144467222007099</v>
      </c>
      <c r="F1153">
        <v>4.3928142097980002E-3</v>
      </c>
      <c r="G1153">
        <v>0.13075813918190701</v>
      </c>
      <c r="H1153">
        <v>3.1402098280275001E-2</v>
      </c>
      <c r="I1153">
        <v>0.22122180236082301</v>
      </c>
    </row>
    <row r="1154" spans="1:9" x14ac:dyDescent="0.2">
      <c r="A1154" s="1" t="s">
        <v>1154</v>
      </c>
      <c r="B1154" t="str">
        <f>HYPERLINK("https://www.suredividend.com/sure-analysis-research-database/","Murphy Oil Corp.")</f>
        <v>Murphy Oil Corp.</v>
      </c>
      <c r="C1154">
        <v>2.9246944548220001E-2</v>
      </c>
      <c r="D1154">
        <v>-0.10636089396347601</v>
      </c>
      <c r="E1154">
        <v>-0.13760142741832701</v>
      </c>
      <c r="F1154">
        <v>-8.8974393495981005E-2</v>
      </c>
      <c r="G1154">
        <v>4.0479506436370003E-3</v>
      </c>
      <c r="H1154">
        <v>0.24792524743345401</v>
      </c>
      <c r="I1154">
        <v>0.52327165735273806</v>
      </c>
    </row>
    <row r="1155" spans="1:9" x14ac:dyDescent="0.2">
      <c r="A1155" s="1" t="s">
        <v>1155</v>
      </c>
      <c r="B1155" t="str">
        <f>HYPERLINK("https://www.suredividend.com/sure-analysis-research-database/","Mural Oncology plc")</f>
        <v>Mural Oncology plc</v>
      </c>
      <c r="C1155">
        <v>0.16985645933014301</v>
      </c>
      <c r="D1155">
        <v>0.18115942028985499</v>
      </c>
      <c r="E1155">
        <v>0.28684210526315701</v>
      </c>
      <c r="F1155">
        <v>-0.17398648648648599</v>
      </c>
      <c r="G1155">
        <v>0.28684210526315701</v>
      </c>
      <c r="H1155">
        <v>0.28684210526315701</v>
      </c>
      <c r="I1155">
        <v>0.28684210526315701</v>
      </c>
    </row>
    <row r="1156" spans="1:9" x14ac:dyDescent="0.2">
      <c r="A1156" s="1" t="s">
        <v>1156</v>
      </c>
      <c r="B1156" t="str">
        <f>HYPERLINK("https://www.suredividend.com/sure-analysis-research-database/","MVB Financial Corp.")</f>
        <v>MVB Financial Corp.</v>
      </c>
      <c r="C1156">
        <v>3.7614678899082002E-2</v>
      </c>
      <c r="D1156">
        <v>0.16426299373089101</v>
      </c>
      <c r="E1156">
        <v>-6.8744905268878012E-2</v>
      </c>
      <c r="F1156">
        <v>2.6595744680850001E-3</v>
      </c>
      <c r="G1156">
        <v>-1.0412109545891999E-2</v>
      </c>
      <c r="H1156">
        <v>-0.37827593883906302</v>
      </c>
      <c r="I1156">
        <v>0.59418144914053705</v>
      </c>
    </row>
    <row r="1157" spans="1:9" x14ac:dyDescent="0.2">
      <c r="A1157" s="1" t="s">
        <v>1157</v>
      </c>
      <c r="B1157" t="str">
        <f>HYPERLINK("https://www.suredividend.com/sure-analysis-research-database/","Microvision Inc.")</f>
        <v>Microvision Inc.</v>
      </c>
      <c r="C1157">
        <v>-5.4704595185995013E-2</v>
      </c>
      <c r="D1157">
        <v>-9.6234309623430006E-2</v>
      </c>
      <c r="E1157">
        <v>-0.18796992481203001</v>
      </c>
      <c r="F1157">
        <v>-0.18796992481203001</v>
      </c>
      <c r="G1157">
        <v>-0.231316725978647</v>
      </c>
      <c r="H1157">
        <v>-0.37752161383285299</v>
      </c>
      <c r="I1157">
        <v>0.87826086956521709</v>
      </c>
    </row>
    <row r="1158" spans="1:9" x14ac:dyDescent="0.2">
      <c r="A1158" s="1" t="s">
        <v>1158</v>
      </c>
      <c r="B1158" t="str">
        <f>HYPERLINK("https://www.suredividend.com/sure-analysis-research-database/","Microvast Holdings Inc")</f>
        <v>Microvast Holdings Inc</v>
      </c>
      <c r="C1158">
        <v>-6.5404658087844E-2</v>
      </c>
      <c r="D1158">
        <v>-0.32399999999999901</v>
      </c>
      <c r="E1158">
        <v>-0.51447513812154599</v>
      </c>
      <c r="F1158">
        <v>-0.37228571428571411</v>
      </c>
      <c r="G1158">
        <v>-0.39393103448275801</v>
      </c>
      <c r="H1158">
        <v>-0.86844311377245509</v>
      </c>
      <c r="I1158">
        <v>-0.91005117707267102</v>
      </c>
    </row>
    <row r="1159" spans="1:9" x14ac:dyDescent="0.2">
      <c r="A1159" s="1" t="s">
        <v>1159</v>
      </c>
      <c r="B1159" t="str">
        <f>HYPERLINK("https://www.suredividend.com/sure-analysis-MWA/","Mueller Water Products Inc")</f>
        <v>Mueller Water Products Inc</v>
      </c>
      <c r="C1159">
        <v>0.115987013450355</v>
      </c>
      <c r="D1159">
        <v>0.188585325075046</v>
      </c>
      <c r="E1159">
        <v>0.179424917236646</v>
      </c>
      <c r="F1159">
        <v>9.1188167166678005E-2</v>
      </c>
      <c r="G1159">
        <v>0.12810969496317701</v>
      </c>
      <c r="H1159">
        <v>0.27402025073109498</v>
      </c>
      <c r="I1159">
        <v>0.56403128062561203</v>
      </c>
    </row>
    <row r="1160" spans="1:9" x14ac:dyDescent="0.2">
      <c r="A1160" s="1" t="s">
        <v>1160</v>
      </c>
      <c r="B1160" t="str">
        <f>HYPERLINK("https://www.suredividend.com/sure-analysis-research-database/","MaxCyte Inc")</f>
        <v>MaxCyte Inc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">
      <c r="A1161" s="1" t="s">
        <v>1161</v>
      </c>
      <c r="B1161" t="str">
        <f>HYPERLINK("https://www.suredividend.com/sure-analysis-research-database/","MaxLinear Inc")</f>
        <v>MaxLinear Inc</v>
      </c>
      <c r="C1161">
        <v>-0.13544018058690699</v>
      </c>
      <c r="D1161">
        <v>3.7940379403794001E-2</v>
      </c>
      <c r="E1161">
        <v>-0.15302963290579299</v>
      </c>
      <c r="F1161">
        <v>-0.194362641985696</v>
      </c>
      <c r="G1161">
        <v>-0.47876973326075112</v>
      </c>
      <c r="H1161">
        <v>-0.68518822949202707</v>
      </c>
      <c r="I1161">
        <v>-0.17456896551724099</v>
      </c>
    </row>
    <row r="1162" spans="1:9" x14ac:dyDescent="0.2">
      <c r="A1162" s="1" t="s">
        <v>1162</v>
      </c>
      <c r="B1162" t="str">
        <f>HYPERLINK("https://www.suredividend.com/sure-analysis-research-database/","Myers Industries Inc.")</f>
        <v>Myers Industries Inc.</v>
      </c>
      <c r="C1162">
        <v>1.0643959552953001E-2</v>
      </c>
      <c r="D1162">
        <v>8.9163426133039E-2</v>
      </c>
      <c r="E1162">
        <v>1.5980696901767E-2</v>
      </c>
      <c r="F1162">
        <v>-2.8644501278772001E-2</v>
      </c>
      <c r="G1162">
        <v>-0.207644003087643</v>
      </c>
      <c r="H1162">
        <v>0.16042457240279301</v>
      </c>
      <c r="I1162">
        <v>0.24307764816778499</v>
      </c>
    </row>
    <row r="1163" spans="1:9" x14ac:dyDescent="0.2">
      <c r="A1163" s="1" t="s">
        <v>1163</v>
      </c>
      <c r="B1163" t="str">
        <f>HYPERLINK("https://www.suredividend.com/sure-analysis-research-database/","First Western Financial Inc")</f>
        <v>First Western Financial Inc</v>
      </c>
      <c r="C1163">
        <v>-0.215653153153153</v>
      </c>
      <c r="D1163">
        <v>-0.15779927448609399</v>
      </c>
      <c r="E1163">
        <v>-0.301754385964912</v>
      </c>
      <c r="F1163">
        <v>-0.29752899646999398</v>
      </c>
      <c r="G1163">
        <v>-0.47493403693931402</v>
      </c>
      <c r="H1163">
        <v>-0.58042168674698802</v>
      </c>
      <c r="I1163">
        <v>3.1851851851851E-2</v>
      </c>
    </row>
    <row r="1164" spans="1:9" x14ac:dyDescent="0.2">
      <c r="A1164" s="1" t="s">
        <v>1164</v>
      </c>
      <c r="B1164" t="str">
        <f>HYPERLINK("https://www.suredividend.com/sure-analysis-research-database/","Myriad Genetics, Inc.")</f>
        <v>Myriad Genetics, Inc.</v>
      </c>
      <c r="C1164">
        <v>0.15706548498276701</v>
      </c>
      <c r="D1164">
        <v>0.30121816168327797</v>
      </c>
      <c r="E1164">
        <v>0.37426900584795297</v>
      </c>
      <c r="F1164">
        <v>0.227795193312434</v>
      </c>
      <c r="G1164">
        <v>0.21009268795056599</v>
      </c>
      <c r="H1164">
        <v>-8.5247177890229009E-2</v>
      </c>
      <c r="I1164">
        <v>-0.26516572858036203</v>
      </c>
    </row>
    <row r="1165" spans="1:9" x14ac:dyDescent="0.2">
      <c r="A1165" s="1" t="s">
        <v>1165</v>
      </c>
      <c r="B1165" t="str">
        <f>HYPERLINK("https://www.suredividend.com/sure-analysis-research-database/","PLAYSTUDIOS Inc")</f>
        <v>PLAYSTUDIOS Inc</v>
      </c>
      <c r="C1165">
        <v>-4.3859649122800007E-3</v>
      </c>
      <c r="D1165">
        <v>-0.13358778625954201</v>
      </c>
      <c r="E1165">
        <v>-0.37292817679557999</v>
      </c>
      <c r="F1165">
        <v>-0.16236162361623599</v>
      </c>
      <c r="G1165">
        <v>-0.47086247086247002</v>
      </c>
      <c r="H1165">
        <v>-0.53955375253549709</v>
      </c>
      <c r="I1165">
        <v>-0.77853658536585302</v>
      </c>
    </row>
    <row r="1166" spans="1:9" x14ac:dyDescent="0.2">
      <c r="A1166" s="1" t="s">
        <v>1166</v>
      </c>
      <c r="B1166" t="str">
        <f>HYPERLINK("https://www.suredividend.com/sure-analysis-research-database/","MYR Group Inc")</f>
        <v>MYR Group Inc</v>
      </c>
      <c r="C1166">
        <v>9.5788428814520002E-2</v>
      </c>
      <c r="D1166">
        <v>0.25926831255601701</v>
      </c>
      <c r="E1166">
        <v>8.9608009024252006E-2</v>
      </c>
      <c r="F1166">
        <v>6.8588812832745011E-2</v>
      </c>
      <c r="G1166">
        <v>0.54333932494507708</v>
      </c>
      <c r="H1166">
        <v>0.62002096436058707</v>
      </c>
      <c r="I1166">
        <v>3.406900484744797</v>
      </c>
    </row>
    <row r="1167" spans="1:9" x14ac:dyDescent="0.2">
      <c r="A1167" s="1" t="s">
        <v>1167</v>
      </c>
      <c r="B1167" t="str">
        <f>HYPERLINK("https://www.suredividend.com/sure-analysis-research-database/","N-able Inc")</f>
        <v>N-able Inc</v>
      </c>
      <c r="C1167">
        <v>-7.5244544770500009E-3</v>
      </c>
      <c r="D1167">
        <v>0.113080168776371</v>
      </c>
      <c r="E1167">
        <v>4.5696877380040002E-3</v>
      </c>
      <c r="F1167">
        <v>-4.5283018867920003E-3</v>
      </c>
      <c r="G1167">
        <v>0.30207305034550802</v>
      </c>
      <c r="H1167">
        <v>0.19366515837104001</v>
      </c>
      <c r="I1167">
        <v>-0.175625</v>
      </c>
    </row>
    <row r="1168" spans="1:9" x14ac:dyDescent="0.2">
      <c r="A1168" s="1" t="s">
        <v>1168</v>
      </c>
      <c r="B1168" t="str">
        <f>HYPERLINK("https://www.suredividend.com/sure-analysis-research-database/","Duckhorn Portfolio Inc (The)")</f>
        <v>Duckhorn Portfolio Inc (The)</v>
      </c>
      <c r="C1168">
        <v>9.0592334494773011E-2</v>
      </c>
      <c r="D1168">
        <v>-7.9411764705882001E-2</v>
      </c>
      <c r="E1168">
        <v>-0.25594294770206</v>
      </c>
      <c r="F1168">
        <v>-4.6700507614213002E-2</v>
      </c>
      <c r="G1168">
        <v>-0.39884763124199701</v>
      </c>
      <c r="H1168">
        <v>-0.51472868217054202</v>
      </c>
      <c r="I1168">
        <v>-0.45343422584400411</v>
      </c>
    </row>
    <row r="1169" spans="1:9" x14ac:dyDescent="0.2">
      <c r="A1169" s="1" t="s">
        <v>1169</v>
      </c>
      <c r="B1169" t="str">
        <f>HYPERLINK("https://www.suredividend.com/sure-analysis-research-database/","Inari Medical Inc")</f>
        <v>Inari Medical Inc</v>
      </c>
      <c r="C1169">
        <v>1.0784484258131E-2</v>
      </c>
      <c r="D1169">
        <v>-3.0880082346880001E-3</v>
      </c>
      <c r="E1169">
        <v>-9.5704948646125013E-2</v>
      </c>
      <c r="F1169">
        <v>-0.104898336414048</v>
      </c>
      <c r="G1169">
        <v>3.7678571428571013E-2</v>
      </c>
      <c r="H1169">
        <v>-0.21324126726238801</v>
      </c>
      <c r="I1169">
        <v>0.36697247706421998</v>
      </c>
    </row>
    <row r="1170" spans="1:9" x14ac:dyDescent="0.2">
      <c r="A1170" s="1" t="s">
        <v>1170</v>
      </c>
      <c r="B1170" t="str">
        <f>HYPERLINK("https://www.suredividend.com/sure-analysis-research-database/","Nordic American Tankers Ltd")</f>
        <v>Nordic American Tankers Ltd</v>
      </c>
      <c r="C1170">
        <v>-5.6306306306306002E-2</v>
      </c>
      <c r="D1170">
        <v>-2.9508500486403001E-2</v>
      </c>
      <c r="E1170">
        <v>5.2737368407828007E-2</v>
      </c>
      <c r="F1170">
        <v>-2.380952380952E-3</v>
      </c>
      <c r="G1170">
        <v>0.29269120414648397</v>
      </c>
      <c r="H1170">
        <v>2.1851007221588761</v>
      </c>
      <c r="I1170">
        <v>1.583549142927611</v>
      </c>
    </row>
    <row r="1171" spans="1:9" x14ac:dyDescent="0.2">
      <c r="A1171" s="1" t="s">
        <v>1171</v>
      </c>
      <c r="B1171" t="str">
        <f>HYPERLINK("https://www.suredividend.com/sure-analysis-research-database/","Nathan`s Famous, Inc.")</f>
        <v>Nathan`s Famous, Inc.</v>
      </c>
      <c r="C1171">
        <v>-2.8293151827428E-2</v>
      </c>
      <c r="D1171">
        <v>5.0291450529805007E-2</v>
      </c>
      <c r="E1171">
        <v>-2.4506541369068002E-2</v>
      </c>
      <c r="F1171">
        <v>-0.106019994251685</v>
      </c>
      <c r="G1171">
        <v>-9.5577487063232006E-2</v>
      </c>
      <c r="H1171">
        <v>0.34250732871508699</v>
      </c>
      <c r="I1171">
        <v>6.5259131954829006E-2</v>
      </c>
    </row>
    <row r="1172" spans="1:9" x14ac:dyDescent="0.2">
      <c r="A1172" s="1" t="s">
        <v>1172</v>
      </c>
      <c r="B1172" t="str">
        <f>HYPERLINK("https://www.suredividend.com/sure-analysis-research-database/","Nature`s Sunshine Products, Inc.")</f>
        <v>Nature`s Sunshine Products, Inc.</v>
      </c>
      <c r="C1172">
        <v>3.9044289044289013E-2</v>
      </c>
      <c r="D1172">
        <v>3.0635838150287999E-2</v>
      </c>
      <c r="E1172">
        <v>0.123503465658475</v>
      </c>
      <c r="F1172">
        <v>3.1231925968768001E-2</v>
      </c>
      <c r="G1172">
        <v>0.80465587044534304</v>
      </c>
      <c r="H1172">
        <v>-1.2188365650969001E-2</v>
      </c>
      <c r="I1172">
        <v>1.268274686410706</v>
      </c>
    </row>
    <row r="1173" spans="1:9" x14ac:dyDescent="0.2">
      <c r="A1173" s="1" t="s">
        <v>1173</v>
      </c>
      <c r="B1173" t="str">
        <f>HYPERLINK("https://www.suredividend.com/sure-analysis-research-database/","Nautilus Biotechnology Inc")</f>
        <v>Nautilus Biotechnology Inc</v>
      </c>
      <c r="C1173">
        <v>-8.9700996677740008E-2</v>
      </c>
      <c r="D1173">
        <v>-1.4388489208632E-2</v>
      </c>
      <c r="E1173">
        <v>-5.8419243986253998E-2</v>
      </c>
      <c r="F1173">
        <v>-8.3612040133779E-2</v>
      </c>
      <c r="G1173">
        <v>0.228699551569506</v>
      </c>
      <c r="H1173">
        <v>-0.278947368421052</v>
      </c>
      <c r="I1173">
        <v>-0.75090909090909008</v>
      </c>
    </row>
    <row r="1174" spans="1:9" x14ac:dyDescent="0.2">
      <c r="A1174" s="1" t="s">
        <v>1174</v>
      </c>
      <c r="B1174" t="str">
        <f>HYPERLINK("https://www.suredividend.com/sure-analysis-NAVI/","Navient Corp")</f>
        <v>Navient Corp</v>
      </c>
      <c r="C1174">
        <v>-5.3030303030301998E-2</v>
      </c>
      <c r="D1174">
        <v>-2.1302480772357E-2</v>
      </c>
      <c r="E1174">
        <v>-4.8884414581040002E-2</v>
      </c>
      <c r="F1174">
        <v>-0.12728249194414601</v>
      </c>
      <c r="G1174">
        <v>-7.1062304565800011E-2</v>
      </c>
      <c r="H1174">
        <v>-2.8296019900496999E-2</v>
      </c>
      <c r="I1174">
        <v>0.65112072994777304</v>
      </c>
    </row>
    <row r="1175" spans="1:9" x14ac:dyDescent="0.2">
      <c r="A1175" s="1" t="s">
        <v>1175</v>
      </c>
      <c r="B1175" t="str">
        <f>HYPERLINK("https://www.suredividend.com/sure-analysis-research-database/","National Bank Holdings Corp")</f>
        <v>National Bank Holdings Corp</v>
      </c>
      <c r="C1175">
        <v>-2.7522935779815998E-2</v>
      </c>
      <c r="D1175">
        <v>3.0536322455787E-2</v>
      </c>
      <c r="E1175">
        <v>5.5277632594141007E-2</v>
      </c>
      <c r="F1175">
        <v>-8.7926862059693009E-2</v>
      </c>
      <c r="G1175">
        <v>-0.17009402501951201</v>
      </c>
      <c r="H1175">
        <v>-0.21795927024902101</v>
      </c>
      <c r="I1175">
        <v>7.0808473024592006E-2</v>
      </c>
    </row>
    <row r="1176" spans="1:9" x14ac:dyDescent="0.2">
      <c r="A1176" s="1" t="s">
        <v>1176</v>
      </c>
      <c r="B1176" t="str">
        <f>HYPERLINK("https://www.suredividend.com/sure-analysis-research-database/","Northeast Bank")</f>
        <v>Northeast Bank</v>
      </c>
      <c r="C1176">
        <v>-1.6588428741345002E-2</v>
      </c>
      <c r="D1176">
        <v>3.3689458131166999E-2</v>
      </c>
      <c r="E1176">
        <v>0.149886319295637</v>
      </c>
      <c r="F1176">
        <v>-4.3852287413469998E-2</v>
      </c>
      <c r="G1176">
        <v>0.20178889979928399</v>
      </c>
      <c r="H1176">
        <v>0.39739541389395111</v>
      </c>
      <c r="I1176">
        <v>1.4930289711233991</v>
      </c>
    </row>
    <row r="1177" spans="1:9" x14ac:dyDescent="0.2">
      <c r="A1177" s="1" t="s">
        <v>1177</v>
      </c>
      <c r="B1177" t="str">
        <f>HYPERLINK("https://www.suredividend.com/sure-analysis-research-database/","Nabors Industries Ltd")</f>
        <v>Nabors Industries Ltd</v>
      </c>
      <c r="C1177">
        <v>8.8833486419105004E-2</v>
      </c>
      <c r="D1177">
        <v>-0.1260663507109</v>
      </c>
      <c r="E1177">
        <v>-0.241637726192652</v>
      </c>
      <c r="F1177">
        <v>1.6538037486217998E-2</v>
      </c>
      <c r="G1177">
        <v>-0.46622925511385499</v>
      </c>
      <c r="H1177">
        <v>-0.342888818498574</v>
      </c>
      <c r="I1177">
        <v>-0.48021946289344403</v>
      </c>
    </row>
    <row r="1178" spans="1:9" x14ac:dyDescent="0.2">
      <c r="A1178" s="1" t="s">
        <v>1178</v>
      </c>
      <c r="B1178" t="str">
        <f>HYPERLINK("https://www.suredividend.com/sure-analysis-research-database/","NBT Bancorp. Inc.")</f>
        <v>NBT Bancorp. Inc.</v>
      </c>
      <c r="C1178">
        <v>-0.120475828904074</v>
      </c>
      <c r="D1178">
        <v>-2.3316732059944001E-2</v>
      </c>
      <c r="E1178">
        <v>7.8334696510600009E-4</v>
      </c>
      <c r="F1178">
        <v>-0.170842281078501</v>
      </c>
      <c r="G1178">
        <v>-0.10521626729700601</v>
      </c>
      <c r="H1178">
        <v>-3.5110858126587E-2</v>
      </c>
      <c r="I1178">
        <v>4.5776417516077E-2</v>
      </c>
    </row>
    <row r="1179" spans="1:9" x14ac:dyDescent="0.2">
      <c r="A1179" s="1" t="s">
        <v>1179</v>
      </c>
      <c r="B1179" t="str">
        <f>HYPERLINK("https://www.suredividend.com/sure-analysis-NC/","Nacco Industries Inc.")</f>
        <v>Nacco Industries Inc.</v>
      </c>
      <c r="C1179">
        <v>-7.6860179885527E-2</v>
      </c>
      <c r="D1179">
        <v>-3.4654946858994E-2</v>
      </c>
      <c r="E1179">
        <v>5.0682152362871012E-2</v>
      </c>
      <c r="F1179">
        <v>-7.2054794520547E-2</v>
      </c>
      <c r="G1179">
        <v>-0.100274141448486</v>
      </c>
      <c r="H1179">
        <v>0.178919376116005</v>
      </c>
      <c r="I1179">
        <v>9.1169109760450007E-3</v>
      </c>
    </row>
    <row r="1180" spans="1:9" x14ac:dyDescent="0.2">
      <c r="A1180" s="1" t="s">
        <v>1180</v>
      </c>
      <c r="B1180" t="str">
        <f>HYPERLINK("https://www.suredividend.com/sure-analysis-research-database/","Noodles &amp; Company")</f>
        <v>Noodles &amp; Company</v>
      </c>
      <c r="C1180">
        <v>-2.3166023166022998E-2</v>
      </c>
      <c r="D1180">
        <v>-0.17320261437908499</v>
      </c>
      <c r="E1180">
        <v>-0.15666666666666601</v>
      </c>
      <c r="F1180">
        <v>-0.19682539682539599</v>
      </c>
      <c r="G1180">
        <v>-0.58861788617886102</v>
      </c>
      <c r="H1180">
        <v>-0.728249194414608</v>
      </c>
      <c r="I1180">
        <v>-0.65718157181571801</v>
      </c>
    </row>
    <row r="1181" spans="1:9" x14ac:dyDescent="0.2">
      <c r="A1181" s="1" t="s">
        <v>1181</v>
      </c>
      <c r="B1181" t="str">
        <f>HYPERLINK("https://www.suredividend.com/sure-analysis-research-database/","Noble Corp Plc")</f>
        <v>Noble Corp Plc</v>
      </c>
      <c r="C1181">
        <v>-3.2287611632699012E-2</v>
      </c>
      <c r="D1181">
        <v>-7.2431957857769999E-2</v>
      </c>
      <c r="E1181">
        <v>-0.179965227110434</v>
      </c>
      <c r="F1181">
        <v>-0.12250830564784</v>
      </c>
      <c r="G1181">
        <v>2.5984651502680998E-2</v>
      </c>
      <c r="H1181">
        <v>0.43507686456419598</v>
      </c>
      <c r="I1181">
        <v>0.43507686456419598</v>
      </c>
    </row>
    <row r="1182" spans="1:9" x14ac:dyDescent="0.2">
      <c r="A1182" s="1" t="s">
        <v>1182</v>
      </c>
      <c r="B1182" t="str">
        <f>HYPERLINK("https://www.suredividend.com/sure-analysis-research-database/","NorthEast Community Bancorp Inc.")</f>
        <v>NorthEast Community Bancorp Inc.</v>
      </c>
      <c r="C1182">
        <v>-4.9674748669426012E-2</v>
      </c>
      <c r="D1182">
        <v>-4.2671702519316013E-2</v>
      </c>
      <c r="E1182">
        <v>-7.3261430883460009E-3</v>
      </c>
      <c r="F1182">
        <v>-8.7999273577517009E-2</v>
      </c>
      <c r="G1182">
        <v>4.0257377929971E-2</v>
      </c>
      <c r="H1182">
        <v>0.34534403804133901</v>
      </c>
      <c r="I1182">
        <v>0.64766435631382502</v>
      </c>
    </row>
    <row r="1183" spans="1:9" x14ac:dyDescent="0.2">
      <c r="A1183" s="1" t="s">
        <v>1183</v>
      </c>
      <c r="B1183" t="str">
        <f>HYPERLINK("https://www.suredividend.com/sure-analysis-research-database/","Neogenomics Inc.")</f>
        <v>Neogenomics Inc.</v>
      </c>
      <c r="C1183">
        <v>-6.5479974570883004E-2</v>
      </c>
      <c r="D1183">
        <v>-0.24654023577652401</v>
      </c>
      <c r="E1183">
        <v>8.4870848708487004E-2</v>
      </c>
      <c r="F1183">
        <v>-9.1470951792336011E-2</v>
      </c>
      <c r="G1183">
        <v>5.6793673616102998E-2</v>
      </c>
      <c r="H1183">
        <v>-0.245767060030784</v>
      </c>
      <c r="I1183">
        <v>-0.203252032520325</v>
      </c>
    </row>
    <row r="1184" spans="1:9" x14ac:dyDescent="0.2">
      <c r="A1184" s="1" t="s">
        <v>1184</v>
      </c>
      <c r="B1184" t="str">
        <f>HYPERLINK("https://www.suredividend.com/sure-analysis-research-database/","Neogen Corp.")</f>
        <v>Neogen Corp.</v>
      </c>
      <c r="C1184">
        <v>1.4705882352940999E-2</v>
      </c>
      <c r="D1184">
        <v>5.9582309582309007E-2</v>
      </c>
      <c r="E1184">
        <v>-0.233333333333333</v>
      </c>
      <c r="F1184">
        <v>-0.14221780208851301</v>
      </c>
      <c r="G1184">
        <v>-0.15233415233415201</v>
      </c>
      <c r="H1184">
        <v>-0.510221465076661</v>
      </c>
      <c r="I1184">
        <v>-0.45002391200382502</v>
      </c>
    </row>
    <row r="1185" spans="1:9" x14ac:dyDescent="0.2">
      <c r="A1185" s="1" t="s">
        <v>1185</v>
      </c>
      <c r="B1185" t="str">
        <f>HYPERLINK("https://www.suredividend.com/sure-analysis-NEWT/","NewtekOne Inc")</f>
        <v>NewtekOne Inc</v>
      </c>
      <c r="C1185">
        <v>-8.7509944311853008E-2</v>
      </c>
      <c r="D1185">
        <v>-0.13273600241956801</v>
      </c>
      <c r="E1185">
        <v>-0.31141301411393202</v>
      </c>
      <c r="F1185">
        <v>-0.16884057971014399</v>
      </c>
      <c r="G1185">
        <v>-0.39535153428889203</v>
      </c>
      <c r="H1185">
        <v>-0.48121848074357099</v>
      </c>
      <c r="I1185">
        <v>-6.7888192303690014E-3</v>
      </c>
    </row>
    <row r="1186" spans="1:9" x14ac:dyDescent="0.2">
      <c r="A1186" s="1" t="s">
        <v>1186</v>
      </c>
      <c r="B1186" t="str">
        <f>HYPERLINK("https://www.suredividend.com/sure-analysis-research-database/","NextDecade Corporation")</f>
        <v>NextDecade Corporation</v>
      </c>
      <c r="C1186">
        <v>0.16157205240174599</v>
      </c>
      <c r="D1186">
        <v>0.103734439834024</v>
      </c>
      <c r="E1186">
        <v>-0.114808652246256</v>
      </c>
      <c r="F1186">
        <v>0.115303983228511</v>
      </c>
      <c r="G1186">
        <v>-0.218795888399412</v>
      </c>
      <c r="H1186">
        <v>1.2931034482758621</v>
      </c>
      <c r="I1186">
        <v>0.47368421052631499</v>
      </c>
    </row>
    <row r="1187" spans="1:9" x14ac:dyDescent="0.2">
      <c r="A1187" s="1" t="s">
        <v>1187</v>
      </c>
      <c r="B1187" t="str">
        <f>HYPERLINK("https://www.suredividend.com/sure-analysis-research-database/","Northfield Bancorp Inc")</f>
        <v>Northfield Bancorp Inc</v>
      </c>
      <c r="C1187">
        <v>-0.147323927664511</v>
      </c>
      <c r="D1187">
        <v>6.7557821816371003E-2</v>
      </c>
      <c r="E1187">
        <v>-2.2461982049016001E-2</v>
      </c>
      <c r="F1187">
        <v>-0.154777797436186</v>
      </c>
      <c r="G1187">
        <v>-0.225554491194458</v>
      </c>
      <c r="H1187">
        <v>-0.243198870918962</v>
      </c>
      <c r="I1187">
        <v>-0.131627434293693</v>
      </c>
    </row>
    <row r="1188" spans="1:9" x14ac:dyDescent="0.2">
      <c r="A1188" s="1" t="s">
        <v>1188</v>
      </c>
      <c r="B1188" t="str">
        <f>HYPERLINK("https://www.suredividend.com/sure-analysis-research-database/","Novagold Resources Inc.")</f>
        <v>Novagold Resources Inc.</v>
      </c>
      <c r="C1188">
        <v>-0.33240223463687102</v>
      </c>
      <c r="D1188">
        <v>-0.37597911227154002</v>
      </c>
      <c r="E1188">
        <v>-0.41421568627450911</v>
      </c>
      <c r="F1188">
        <v>-0.36096256684491901</v>
      </c>
      <c r="G1188">
        <v>-0.59005145797598602</v>
      </c>
      <c r="H1188">
        <v>-0.66099290780141806</v>
      </c>
      <c r="I1188">
        <v>-0.37597911227154002</v>
      </c>
    </row>
    <row r="1189" spans="1:9" x14ac:dyDescent="0.2">
      <c r="A1189" s="1" t="s">
        <v>1189</v>
      </c>
      <c r="B1189" t="str">
        <f>HYPERLINK("https://www.suredividend.com/sure-analysis-research-database/","Ngm Biopharmaceuticals Inc")</f>
        <v>Ngm Biopharmaceuticals Inc</v>
      </c>
      <c r="C1189">
        <v>0.229007633587786</v>
      </c>
      <c r="D1189">
        <v>1.5681926942096029</v>
      </c>
      <c r="E1189">
        <v>-0.26484018264840098</v>
      </c>
      <c r="F1189">
        <v>0.87427240977881204</v>
      </c>
      <c r="G1189">
        <v>-0.66666666666666607</v>
      </c>
      <c r="H1189">
        <v>-0.89414858645627804</v>
      </c>
      <c r="I1189">
        <v>-0.89047619047619009</v>
      </c>
    </row>
    <row r="1190" spans="1:9" x14ac:dyDescent="0.2">
      <c r="A1190" s="1" t="s">
        <v>1190</v>
      </c>
      <c r="B1190" t="str">
        <f>HYPERLINK("https://www.suredividend.com/sure-analysis-research-database/","Natural Grocers by Vitamin Cottage Inc")</f>
        <v>Natural Grocers by Vitamin Cottage Inc</v>
      </c>
      <c r="C1190">
        <v>-1.8348623853211E-2</v>
      </c>
      <c r="D1190">
        <v>-0.110535816074482</v>
      </c>
      <c r="E1190">
        <v>0.17263945642133599</v>
      </c>
      <c r="F1190">
        <v>-6.3749999999999002E-2</v>
      </c>
      <c r="G1190">
        <v>0.48334455578880597</v>
      </c>
      <c r="H1190">
        <v>-9.1493516732773006E-2</v>
      </c>
      <c r="I1190">
        <v>0.150599494596483</v>
      </c>
    </row>
    <row r="1191" spans="1:9" x14ac:dyDescent="0.2">
      <c r="A1191" s="1" t="s">
        <v>1191</v>
      </c>
      <c r="B1191" t="str">
        <f>HYPERLINK("https://www.suredividend.com/sure-analysis-research-database/","Ingevity Corp")</f>
        <v>Ingevity Corp</v>
      </c>
      <c r="C1191">
        <v>0.12506118453255</v>
      </c>
      <c r="D1191">
        <v>0.14410154305624601</v>
      </c>
      <c r="E1191">
        <v>-0.10997095837366801</v>
      </c>
      <c r="F1191">
        <v>-2.6471833968656999E-2</v>
      </c>
      <c r="G1191">
        <v>-0.49344352617079812</v>
      </c>
      <c r="H1191">
        <v>-0.30840980893636211</v>
      </c>
      <c r="I1191">
        <v>-0.60732894849235508</v>
      </c>
    </row>
    <row r="1192" spans="1:9" x14ac:dyDescent="0.2">
      <c r="A1192" s="1" t="s">
        <v>1192</v>
      </c>
      <c r="B1192" t="str">
        <f>HYPERLINK("https://www.suredividend.com/sure-analysis-NHC/","National Healthcare Corp.")</f>
        <v>National Healthcare Corp.</v>
      </c>
      <c r="C1192">
        <v>1.2546661136457001E-2</v>
      </c>
      <c r="D1192">
        <v>0.287487441558749</v>
      </c>
      <c r="E1192">
        <v>0.45008456970429511</v>
      </c>
      <c r="F1192">
        <v>5.6589482795931012E-2</v>
      </c>
      <c r="G1192">
        <v>0.75865143042385907</v>
      </c>
      <c r="H1192">
        <v>0.66112674235439406</v>
      </c>
      <c r="I1192">
        <v>0.41224757791947603</v>
      </c>
    </row>
    <row r="1193" spans="1:9" x14ac:dyDescent="0.2">
      <c r="A1193" s="1" t="s">
        <v>1193</v>
      </c>
      <c r="B1193" t="str">
        <f>HYPERLINK("https://www.suredividend.com/sure-analysis-NHI/","National Health Investors, Inc.")</f>
        <v>National Health Investors, Inc.</v>
      </c>
      <c r="C1193">
        <v>-3.1999999999999001E-2</v>
      </c>
      <c r="D1193">
        <v>2.5477970876399999E-3</v>
      </c>
      <c r="E1193">
        <v>9.9904553737072008E-2</v>
      </c>
      <c r="F1193">
        <v>-4.6732318710832013E-2</v>
      </c>
      <c r="G1193">
        <v>-2.5233347126049001E-2</v>
      </c>
      <c r="H1193">
        <v>0.114171152091477</v>
      </c>
      <c r="I1193">
        <v>-7.1048072040885007E-2</v>
      </c>
    </row>
    <row r="1194" spans="1:9" x14ac:dyDescent="0.2">
      <c r="A1194" s="1" t="s">
        <v>1194</v>
      </c>
      <c r="B1194" t="str">
        <f>HYPERLINK("https://www.suredividend.com/sure-analysis-research-database/","Nicolet Bankshares Inc.")</f>
        <v>Nicolet Bankshares Inc.</v>
      </c>
      <c r="C1194">
        <v>-2.9422581831555002E-2</v>
      </c>
      <c r="D1194">
        <v>2.3106148716754999E-2</v>
      </c>
      <c r="E1194">
        <v>2.8481012658228E-2</v>
      </c>
      <c r="F1194">
        <v>-1.6277335984095E-2</v>
      </c>
      <c r="G1194">
        <v>5.6574866410073997E-2</v>
      </c>
      <c r="H1194">
        <v>-0.16575342465753401</v>
      </c>
      <c r="I1194">
        <v>0.39359267734553699</v>
      </c>
    </row>
    <row r="1195" spans="1:9" x14ac:dyDescent="0.2">
      <c r="A1195" s="1" t="s">
        <v>1195</v>
      </c>
      <c r="B1195" t="str">
        <f>HYPERLINK("https://www.suredividend.com/sure-analysis-NJR/","New Jersey Resources Corporation")</f>
        <v>New Jersey Resources Corporation</v>
      </c>
      <c r="C1195">
        <v>6.9494368559790002E-3</v>
      </c>
      <c r="D1195">
        <v>1.7546201819460001E-3</v>
      </c>
      <c r="E1195">
        <v>-1.0351040403207E-2</v>
      </c>
      <c r="F1195">
        <v>-5.7424854194706013E-2</v>
      </c>
      <c r="G1195">
        <v>-0.158165514035917</v>
      </c>
      <c r="H1195">
        <v>0.125111788236932</v>
      </c>
      <c r="I1195">
        <v>5.2663222923105997E-2</v>
      </c>
    </row>
    <row r="1196" spans="1:9" x14ac:dyDescent="0.2">
      <c r="A1196" s="1" t="s">
        <v>1196</v>
      </c>
      <c r="B1196" t="str">
        <f>HYPERLINK("https://www.suredividend.com/sure-analysis-research-database/","Nikola Corp")</f>
        <v>Nikola Corp</v>
      </c>
      <c r="C1196">
        <v>8.1889280785155005E-2</v>
      </c>
      <c r="D1196">
        <v>-0.28535251215559099</v>
      </c>
      <c r="E1196">
        <v>-0.64005102040816308</v>
      </c>
      <c r="F1196">
        <v>-0.193529949702789</v>
      </c>
      <c r="G1196">
        <v>-0.71892430278884401</v>
      </c>
      <c r="H1196">
        <v>-0.9109217171717171</v>
      </c>
      <c r="I1196">
        <v>-0.92888104838709606</v>
      </c>
    </row>
    <row r="1197" spans="1:9" x14ac:dyDescent="0.2">
      <c r="A1197" s="1" t="s">
        <v>1197</v>
      </c>
      <c r="B1197" t="str">
        <f>HYPERLINK("https://www.suredividend.com/sure-analysis-research-database/","National Bankshares Inc.")</f>
        <v>National Bankshares Inc.</v>
      </c>
      <c r="C1197">
        <v>-4.3545398394069998E-2</v>
      </c>
      <c r="D1197">
        <v>0.143226282761166</v>
      </c>
      <c r="E1197">
        <v>0.222448528483011</v>
      </c>
      <c r="F1197">
        <v>-4.2658423493044002E-2</v>
      </c>
      <c r="G1197">
        <v>-0.18294014911276299</v>
      </c>
      <c r="H1197">
        <v>8.8900905948760007E-3</v>
      </c>
      <c r="I1197">
        <v>4.8451528159573001E-2</v>
      </c>
    </row>
    <row r="1198" spans="1:9" x14ac:dyDescent="0.2">
      <c r="A1198" s="1" t="s">
        <v>1198</v>
      </c>
      <c r="B1198" t="str">
        <f>HYPERLINK("https://www.suredividend.com/sure-analysis-research-database/","Nkarta Inc")</f>
        <v>Nkarta Inc</v>
      </c>
      <c r="C1198">
        <v>0.39083557951482401</v>
      </c>
      <c r="D1198">
        <v>2.9464627151051621</v>
      </c>
      <c r="E1198">
        <v>4.5783783783783782</v>
      </c>
      <c r="F1198">
        <v>0.56363636363636305</v>
      </c>
      <c r="G1198">
        <v>0.94716981132075406</v>
      </c>
      <c r="H1198">
        <v>8.6315789473684013E-2</v>
      </c>
      <c r="I1198">
        <v>-0.78455114822546901</v>
      </c>
    </row>
    <row r="1199" spans="1:9" x14ac:dyDescent="0.2">
      <c r="A1199" s="1" t="s">
        <v>1199</v>
      </c>
      <c r="B1199" t="str">
        <f>HYPERLINK("https://www.suredividend.com/sure-analysis-research-database/","NL Industries, Inc.")</f>
        <v>NL Industries, Inc.</v>
      </c>
      <c r="C1199">
        <v>-2.8195488721804E-2</v>
      </c>
      <c r="D1199">
        <v>2.7567427901337E-2</v>
      </c>
      <c r="E1199">
        <v>7.7186963979410002E-3</v>
      </c>
      <c r="F1199">
        <v>-7.843137254901901E-2</v>
      </c>
      <c r="G1199">
        <v>-0.240855762594893</v>
      </c>
      <c r="H1199">
        <v>-4.8390362421542002E-2</v>
      </c>
      <c r="I1199">
        <v>0.42620689655172411</v>
      </c>
    </row>
    <row r="1200" spans="1:9" x14ac:dyDescent="0.2">
      <c r="A1200" s="1" t="s">
        <v>1200</v>
      </c>
      <c r="B1200" t="str">
        <f>HYPERLINK("https://www.suredividend.com/sure-analysis-research-database/","NMI Holdings Inc")</f>
        <v>NMI Holdings Inc</v>
      </c>
      <c r="C1200">
        <v>-3.7258815701929002E-2</v>
      </c>
      <c r="D1200">
        <v>4.2507204610950013E-2</v>
      </c>
      <c r="E1200">
        <v>2.0451339915372999E-2</v>
      </c>
      <c r="F1200">
        <v>-2.4932614555255E-2</v>
      </c>
      <c r="G1200">
        <v>0.196362133112856</v>
      </c>
      <c r="H1200">
        <v>0.19389438943894399</v>
      </c>
      <c r="I1200">
        <v>0.169292929292929</v>
      </c>
    </row>
    <row r="1201" spans="1:9" x14ac:dyDescent="0.2">
      <c r="A1201" s="1" t="s">
        <v>1201</v>
      </c>
      <c r="B1201" t="str">
        <f>HYPERLINK("https://www.suredividend.com/sure-analysis-research-database/","Neumora Therapeutics Inc.")</f>
        <v>Neumora Therapeutics Inc.</v>
      </c>
      <c r="C1201">
        <v>0.29403508771929798</v>
      </c>
      <c r="D1201">
        <v>0.55611814345991506</v>
      </c>
      <c r="E1201">
        <v>0.13476923076923</v>
      </c>
      <c r="F1201">
        <v>8.1524926686217011E-2</v>
      </c>
      <c r="G1201">
        <v>0.13476923076923</v>
      </c>
      <c r="H1201">
        <v>0.13476923076923</v>
      </c>
      <c r="I1201">
        <v>0.13476923076923</v>
      </c>
    </row>
    <row r="1202" spans="1:9" x14ac:dyDescent="0.2">
      <c r="A1202" s="1" t="s">
        <v>1202</v>
      </c>
      <c r="B1202" t="str">
        <f>HYPERLINK("https://www.suredividend.com/sure-analysis-research-database/","Newmark Group Inc")</f>
        <v>Newmark Group Inc</v>
      </c>
      <c r="C1202">
        <v>9.4455852156057007E-2</v>
      </c>
      <c r="D1202">
        <v>0.36491677336747702</v>
      </c>
      <c r="E1202">
        <v>0.55312081123608603</v>
      </c>
      <c r="F1202">
        <v>-2.7372262773722001E-2</v>
      </c>
      <c r="G1202">
        <v>0.28158888167544299</v>
      </c>
      <c r="H1202">
        <v>-0.37330613348696901</v>
      </c>
      <c r="I1202">
        <v>0.16412401306090299</v>
      </c>
    </row>
    <row r="1203" spans="1:9" x14ac:dyDescent="0.2">
      <c r="A1203" s="1" t="s">
        <v>1203</v>
      </c>
      <c r="B1203" t="str">
        <f>HYPERLINK("https://www.suredividend.com/sure-analysis-research-database/","NextNav Inc")</f>
        <v>NextNav Inc</v>
      </c>
      <c r="C1203">
        <v>0.118556701030927</v>
      </c>
      <c r="D1203">
        <v>-9.3945720250521003E-2</v>
      </c>
      <c r="E1203">
        <v>8.4999999999999007E-2</v>
      </c>
      <c r="F1203">
        <v>-2.4719101123594999E-2</v>
      </c>
      <c r="G1203">
        <v>0.49140893470790298</v>
      </c>
      <c r="H1203">
        <v>-0.29430894308943101</v>
      </c>
      <c r="I1203">
        <v>-0.60365296803652901</v>
      </c>
    </row>
    <row r="1204" spans="1:9" x14ac:dyDescent="0.2">
      <c r="A1204" s="1" t="s">
        <v>1204</v>
      </c>
      <c r="B1204" t="str">
        <f>HYPERLINK("https://www.suredividend.com/sure-analysis-research-database/","Nelnet Inc")</f>
        <v>Nelnet Inc</v>
      </c>
      <c r="C1204">
        <v>3.1532575933224997E-2</v>
      </c>
      <c r="D1204">
        <v>3.7655537544750997E-2</v>
      </c>
      <c r="E1204">
        <v>-3.3121405309899002E-2</v>
      </c>
      <c r="F1204">
        <v>8.6148265699380003E-3</v>
      </c>
      <c r="G1204">
        <v>-4.9579317615467002E-2</v>
      </c>
      <c r="H1204">
        <v>0.11261716366400901</v>
      </c>
      <c r="I1204">
        <v>0.72759926220755211</v>
      </c>
    </row>
    <row r="1205" spans="1:9" x14ac:dyDescent="0.2">
      <c r="A1205" s="1" t="s">
        <v>1205</v>
      </c>
      <c r="B1205" t="str">
        <f>HYPERLINK("https://www.suredividend.com/sure-analysis-research-database/","Nano X Imaging Ltd")</f>
        <v>Nano X Imaging Ltd</v>
      </c>
      <c r="C1205">
        <v>0.92910447761194004</v>
      </c>
      <c r="D1205">
        <v>0.57142857142857106</v>
      </c>
      <c r="E1205">
        <v>0.18714121699196301</v>
      </c>
      <c r="F1205">
        <v>0.62323390894819408</v>
      </c>
      <c r="G1205">
        <v>0.29573934837092702</v>
      </c>
      <c r="H1205">
        <v>5.0813008130081001E-2</v>
      </c>
      <c r="I1205">
        <v>-0.52350230414746501</v>
      </c>
    </row>
    <row r="1206" spans="1:9" x14ac:dyDescent="0.2">
      <c r="A1206" s="1" t="s">
        <v>1206</v>
      </c>
      <c r="B1206" t="str">
        <f>HYPERLINK("https://www.suredividend.com/sure-analysis-research-database/","NI Holdings Inc")</f>
        <v>NI Holdings Inc</v>
      </c>
      <c r="C1206">
        <v>5.2631578947368002E-2</v>
      </c>
      <c r="D1206">
        <v>3.8461538461538013E-2</v>
      </c>
      <c r="E1206">
        <v>3.7663335895465E-2</v>
      </c>
      <c r="F1206">
        <v>3.9260969976905001E-2</v>
      </c>
      <c r="G1206">
        <v>-2.8077753779696998E-2</v>
      </c>
      <c r="H1206">
        <v>-0.23512747875354101</v>
      </c>
      <c r="I1206">
        <v>-0.11184210526315699</v>
      </c>
    </row>
    <row r="1207" spans="1:9" x14ac:dyDescent="0.2">
      <c r="A1207" s="1" t="s">
        <v>1207</v>
      </c>
      <c r="B1207" t="str">
        <f>HYPERLINK("https://www.suredividend.com/sure-analysis-research-database/","Northern Oil and Gas Inc.")</f>
        <v>Northern Oil and Gas Inc.</v>
      </c>
      <c r="C1207">
        <v>-2.6737967914430001E-3</v>
      </c>
      <c r="D1207">
        <v>-9.3782815617061005E-2</v>
      </c>
      <c r="E1207">
        <v>-0.167771924387976</v>
      </c>
      <c r="F1207">
        <v>-9.4415969786889001E-2</v>
      </c>
      <c r="G1207">
        <v>9.6976371057077002E-2</v>
      </c>
      <c r="H1207">
        <v>0.50940172477361201</v>
      </c>
      <c r="I1207">
        <v>0.42288569866358011</v>
      </c>
    </row>
    <row r="1208" spans="1:9" x14ac:dyDescent="0.2">
      <c r="A1208" s="1" t="s">
        <v>1208</v>
      </c>
      <c r="B1208" t="str">
        <f>HYPERLINK("https://www.suredividend.com/sure-analysis-research-database/","FiscalNote Holdings Inc")</f>
        <v>FiscalNote Holdings Inc</v>
      </c>
      <c r="C1208">
        <v>0.95620762476381005</v>
      </c>
      <c r="D1208">
        <v>0.69230769230769207</v>
      </c>
      <c r="E1208">
        <v>-0.34814814814814798</v>
      </c>
      <c r="F1208">
        <v>0.54385964912280704</v>
      </c>
      <c r="G1208">
        <v>-0.44479495268138802</v>
      </c>
      <c r="H1208">
        <v>-0.82275931520644507</v>
      </c>
      <c r="I1208">
        <v>-0.82262355881641502</v>
      </c>
    </row>
    <row r="1209" spans="1:9" x14ac:dyDescent="0.2">
      <c r="A1209" s="1" t="s">
        <v>1209</v>
      </c>
      <c r="B1209" t="str">
        <f>HYPERLINK("https://www.suredividend.com/sure-analysis-research-database/","Sunnova Energy International Inc")</f>
        <v>Sunnova Energy International Inc</v>
      </c>
      <c r="C1209">
        <v>0.125125125125125</v>
      </c>
      <c r="D1209">
        <v>2.1818181818181001E-2</v>
      </c>
      <c r="E1209">
        <v>-0.15805243445692799</v>
      </c>
      <c r="F1209">
        <v>-0.26295081967213102</v>
      </c>
      <c r="G1209">
        <v>-0.376594564614531</v>
      </c>
      <c r="H1209">
        <v>-0.29174543163201</v>
      </c>
      <c r="I1209">
        <v>-8.888888888880001E-4</v>
      </c>
    </row>
    <row r="1210" spans="1:9" x14ac:dyDescent="0.2">
      <c r="A1210" s="1" t="s">
        <v>1210</v>
      </c>
      <c r="B1210" t="str">
        <f>HYPERLINK("https://www.suredividend.com/sure-analysis-research-database/","Novanta Inc")</f>
        <v>Novanta Inc</v>
      </c>
      <c r="C1210">
        <v>1.5369958717053E-2</v>
      </c>
      <c r="D1210">
        <v>0.118128409567771</v>
      </c>
      <c r="E1210">
        <v>6.9937090081649E-2</v>
      </c>
      <c r="F1210">
        <v>-5.0709577816044002E-2</v>
      </c>
      <c r="G1210">
        <v>-2.2620284893317001E-2</v>
      </c>
      <c r="H1210">
        <v>0.20985318601483199</v>
      </c>
      <c r="I1210">
        <v>1.090623774029031</v>
      </c>
    </row>
    <row r="1211" spans="1:9" x14ac:dyDescent="0.2">
      <c r="A1211" s="1" t="s">
        <v>1211</v>
      </c>
      <c r="B1211" t="str">
        <f>HYPERLINK("https://www.suredividend.com/sure-analysis-research-database/","National Presto Industries, Inc.")</f>
        <v>National Presto Industries, Inc.</v>
      </c>
      <c r="C1211">
        <v>-3.9138240574506003E-2</v>
      </c>
      <c r="D1211">
        <v>3.9088791095003003E-2</v>
      </c>
      <c r="E1211">
        <v>6.345211286263E-2</v>
      </c>
      <c r="F1211">
        <v>0</v>
      </c>
      <c r="G1211">
        <v>9.0144700821275001E-2</v>
      </c>
      <c r="H1211">
        <v>6.8792536025817003E-2</v>
      </c>
      <c r="I1211">
        <v>-0.24029286766730701</v>
      </c>
    </row>
    <row r="1212" spans="1:9" x14ac:dyDescent="0.2">
      <c r="A1212" s="1" t="s">
        <v>1212</v>
      </c>
      <c r="B1212" t="str">
        <f>HYPERLINK("https://www.suredividend.com/sure-analysis-research-database/","Enpro Inc")</f>
        <v>Enpro Inc</v>
      </c>
      <c r="C1212">
        <v>7.9412746079410013E-3</v>
      </c>
      <c r="D1212">
        <v>0.197824185358217</v>
      </c>
      <c r="E1212">
        <v>0.203488714902893</v>
      </c>
      <c r="F1212">
        <v>-3.6365956360852013E-2</v>
      </c>
      <c r="G1212">
        <v>0.27520716628603498</v>
      </c>
      <c r="H1212">
        <v>0.38783476092377711</v>
      </c>
      <c r="I1212">
        <v>1.2454671416083389</v>
      </c>
    </row>
    <row r="1213" spans="1:9" x14ac:dyDescent="0.2">
      <c r="A1213" s="1" t="s">
        <v>1213</v>
      </c>
      <c r="B1213" t="str">
        <f>HYPERLINK("https://www.suredividend.com/sure-analysis-research-database/","Newpark Resources, Inc.")</f>
        <v>Newpark Resources, Inc.</v>
      </c>
      <c r="C1213">
        <v>2.9556650246305001E-2</v>
      </c>
      <c r="D1213">
        <v>-0.12795549374130699</v>
      </c>
      <c r="E1213">
        <v>0.123655913978494</v>
      </c>
      <c r="F1213">
        <v>-5.5722891566264997E-2</v>
      </c>
      <c r="G1213">
        <v>0.46838407494145201</v>
      </c>
      <c r="H1213">
        <v>0.7762039660056651</v>
      </c>
      <c r="I1213">
        <v>-0.35025906735751311</v>
      </c>
    </row>
    <row r="1214" spans="1:9" x14ac:dyDescent="0.2">
      <c r="A1214" s="1" t="s">
        <v>1214</v>
      </c>
      <c r="B1214" t="str">
        <f>HYPERLINK("https://www.suredividend.com/sure-analysis-research-database/","National Research Corp")</f>
        <v>National Research Corp</v>
      </c>
      <c r="C1214">
        <v>-6.1084245355050009E-3</v>
      </c>
      <c r="D1214">
        <v>-6.4146132203438011E-2</v>
      </c>
      <c r="E1214">
        <v>-3.7316615594730998E-2</v>
      </c>
      <c r="F1214">
        <v>-1.2891809908999E-2</v>
      </c>
      <c r="G1214">
        <v>-0.112965693011169</v>
      </c>
      <c r="H1214">
        <v>8.6004310644510001E-2</v>
      </c>
      <c r="I1214">
        <v>9.9111422596379006E-2</v>
      </c>
    </row>
    <row r="1215" spans="1:9" x14ac:dyDescent="0.2">
      <c r="A1215" s="1" t="s">
        <v>1215</v>
      </c>
      <c r="B1215" t="str">
        <f>HYPERLINK("https://www.suredividend.com/sure-analysis-research-database/","Nerdwallet Inc")</f>
        <v>Nerdwallet Inc</v>
      </c>
      <c r="C1215">
        <v>5.7922769640479002E-2</v>
      </c>
      <c r="D1215">
        <v>0.39876760563380298</v>
      </c>
      <c r="E1215">
        <v>0.76164079822616404</v>
      </c>
      <c r="F1215">
        <v>7.9483695652173003E-2</v>
      </c>
      <c r="G1215">
        <v>-9.3553907586993001E-2</v>
      </c>
      <c r="H1215">
        <v>0.34775233248515702</v>
      </c>
      <c r="I1215">
        <v>-0.43851590106006999</v>
      </c>
    </row>
    <row r="1216" spans="1:9" x14ac:dyDescent="0.2">
      <c r="A1216" s="1" t="s">
        <v>1216</v>
      </c>
      <c r="B1216" t="str">
        <f>HYPERLINK("https://www.suredividend.com/sure-analysis-research-database/","Nerdy Inc")</f>
        <v>Nerdy Inc</v>
      </c>
      <c r="C1216">
        <v>-2.2364217252395999E-2</v>
      </c>
      <c r="D1216">
        <v>0.21912350597609501</v>
      </c>
      <c r="E1216">
        <v>-0.29002320185614799</v>
      </c>
      <c r="F1216">
        <v>-0.107871720116618</v>
      </c>
      <c r="G1216">
        <v>8.5106382978723E-2</v>
      </c>
      <c r="H1216">
        <v>-0.32300884955752202</v>
      </c>
      <c r="I1216">
        <v>-0.68453608247422604</v>
      </c>
    </row>
    <row r="1217" spans="1:9" x14ac:dyDescent="0.2">
      <c r="A1217" s="1" t="s">
        <v>1217</v>
      </c>
      <c r="B1217" t="str">
        <f>HYPERLINK("https://www.suredividend.com/sure-analysis-research-database/","NexPoint Real Estate Finance Inc")</f>
        <v>NexPoint Real Estate Finance Inc</v>
      </c>
      <c r="C1217">
        <v>-0.113851992409867</v>
      </c>
      <c r="D1217">
        <v>-0.112009735567781</v>
      </c>
      <c r="E1217">
        <v>-0.13520653811017</v>
      </c>
      <c r="F1217">
        <v>-0.11047619047619001</v>
      </c>
      <c r="G1217">
        <v>-0.16625008926658499</v>
      </c>
      <c r="H1217">
        <v>-0.15599867465887499</v>
      </c>
      <c r="I1217">
        <v>0.10560457077921</v>
      </c>
    </row>
    <row r="1218" spans="1:9" x14ac:dyDescent="0.2">
      <c r="A1218" s="1" t="s">
        <v>1218</v>
      </c>
      <c r="B1218" t="str">
        <f>HYPERLINK("https://www.suredividend.com/sure-analysis-research-database/","Energy Vault Holdings Inc")</f>
        <v>Energy Vault Holdings Inc</v>
      </c>
      <c r="C1218">
        <v>4.5977011494252013E-2</v>
      </c>
      <c r="D1218">
        <v>-0.23206751054852301</v>
      </c>
      <c r="E1218">
        <v>-0.42038216560509511</v>
      </c>
      <c r="F1218">
        <v>-0.218884120171673</v>
      </c>
      <c r="G1218">
        <v>-0.49303621169916412</v>
      </c>
      <c r="H1218">
        <v>-0.85275080906148804</v>
      </c>
      <c r="I1218">
        <v>-0.80617678381256608</v>
      </c>
    </row>
    <row r="1219" spans="1:9" x14ac:dyDescent="0.2">
      <c r="A1219" s="1" t="s">
        <v>1219</v>
      </c>
      <c r="B1219" t="str">
        <f>HYPERLINK("https://www.suredividend.com/sure-analysis-NRIM/","Northrim Bancorp, Inc.")</f>
        <v>Northrim Bancorp, Inc.</v>
      </c>
      <c r="C1219">
        <v>-5.5337446251635003E-2</v>
      </c>
      <c r="D1219">
        <v>4.1248096471542997E-2</v>
      </c>
      <c r="E1219">
        <v>0.19064730401916999</v>
      </c>
      <c r="F1219">
        <v>-0.116762803705645</v>
      </c>
      <c r="G1219">
        <v>1.2976442734655E-2</v>
      </c>
      <c r="H1219">
        <v>0.294485945873938</v>
      </c>
      <c r="I1219">
        <v>0.60221449951803507</v>
      </c>
    </row>
    <row r="1220" spans="1:9" x14ac:dyDescent="0.2">
      <c r="A1220" s="1" t="s">
        <v>1220</v>
      </c>
      <c r="B1220" t="str">
        <f>HYPERLINK("https://www.suredividend.com/sure-analysis-research-database/","Nurix Therapeutics Inc")</f>
        <v>Nurix Therapeutics Inc</v>
      </c>
      <c r="C1220">
        <v>0.236519607843137</v>
      </c>
      <c r="D1220">
        <v>0.54992319508448506</v>
      </c>
      <c r="E1220">
        <v>0.17873831775700899</v>
      </c>
      <c r="F1220">
        <v>-2.2286821705426001E-2</v>
      </c>
      <c r="G1220">
        <v>3.8065843621398997E-2</v>
      </c>
      <c r="H1220">
        <v>-0.36139240506329101</v>
      </c>
      <c r="I1220">
        <v>-0.46922672277748512</v>
      </c>
    </row>
    <row r="1221" spans="1:9" x14ac:dyDescent="0.2">
      <c r="A1221" s="1" t="s">
        <v>1221</v>
      </c>
      <c r="B1221" t="str">
        <f>HYPERLINK("https://www.suredividend.com/sure-analysis-research-database/","Insight Enterprises Inc.")</f>
        <v>Insight Enterprises Inc.</v>
      </c>
      <c r="C1221">
        <v>-1.7375867448489998E-2</v>
      </c>
      <c r="D1221">
        <v>0.21627380476761199</v>
      </c>
      <c r="E1221">
        <v>0.21684098327892801</v>
      </c>
      <c r="F1221">
        <v>3.0870816637507001E-2</v>
      </c>
      <c r="G1221">
        <v>0.39947900704872802</v>
      </c>
      <c r="H1221">
        <v>0.82952724358974306</v>
      </c>
      <c r="I1221">
        <v>2.171180555555555</v>
      </c>
    </row>
    <row r="1222" spans="1:9" x14ac:dyDescent="0.2">
      <c r="A1222" s="1" t="s">
        <v>1222</v>
      </c>
      <c r="B1222" t="str">
        <f>HYPERLINK("https://www.suredividend.com/sure-analysis-NSP/","Insperity Inc")</f>
        <v>Insperity Inc</v>
      </c>
      <c r="C1222">
        <v>-0.151594354417145</v>
      </c>
      <c r="D1222">
        <v>-0.13411983966367699</v>
      </c>
      <c r="E1222">
        <v>-1.5961074985221001E-2</v>
      </c>
      <c r="F1222">
        <v>-0.16925439344821699</v>
      </c>
      <c r="G1222">
        <v>-0.20916003505098801</v>
      </c>
      <c r="H1222">
        <v>0.123687559931733</v>
      </c>
      <c r="I1222">
        <v>-0.15454659109851601</v>
      </c>
    </row>
    <row r="1223" spans="1:9" x14ac:dyDescent="0.2">
      <c r="A1223" s="1" t="s">
        <v>1223</v>
      </c>
      <c r="B1223" t="str">
        <f>HYPERLINK("https://www.suredividend.com/sure-analysis-research-database/","NAPCO Security Technologies Inc")</f>
        <v>NAPCO Security Technologies Inc</v>
      </c>
      <c r="C1223">
        <v>0.29531388152077798</v>
      </c>
      <c r="D1223">
        <v>0.52109809784865802</v>
      </c>
      <c r="E1223">
        <v>0.154698005091705</v>
      </c>
      <c r="F1223">
        <v>0.28321167883211601</v>
      </c>
      <c r="G1223">
        <v>0.36117417144910002</v>
      </c>
      <c r="H1223">
        <v>1.1808167518483601</v>
      </c>
      <c r="I1223">
        <v>3.185275828246565</v>
      </c>
    </row>
    <row r="1224" spans="1:9" x14ac:dyDescent="0.2">
      <c r="A1224" s="1" t="s">
        <v>1224</v>
      </c>
      <c r="B1224" t="str">
        <f>HYPERLINK("https://www.suredividend.com/sure-analysis-research-database/","Bank of N T Butterfield &amp; Son Ltd.")</f>
        <v>Bank of N T Butterfield &amp; Son Ltd.</v>
      </c>
      <c r="C1224">
        <v>-3.2905561039800002E-4</v>
      </c>
      <c r="D1224">
        <v>7.9218472468916001E-2</v>
      </c>
      <c r="E1224">
        <v>8.0819544405033E-2</v>
      </c>
      <c r="F1224">
        <v>-5.0921587004061013E-2</v>
      </c>
      <c r="G1224">
        <v>-0.126122549950236</v>
      </c>
      <c r="H1224">
        <v>-0.146547703994201</v>
      </c>
      <c r="I1224">
        <v>-8.2849662790770006E-3</v>
      </c>
    </row>
    <row r="1225" spans="1:9" x14ac:dyDescent="0.2">
      <c r="A1225" s="1" t="s">
        <v>1225</v>
      </c>
      <c r="B1225" t="str">
        <f>HYPERLINK("https://www.suredividend.com/sure-analysis-research-database/","Netscout Systems Inc")</f>
        <v>Netscout Systems Inc</v>
      </c>
      <c r="C1225">
        <v>1.2885411872986001E-2</v>
      </c>
      <c r="D1225">
        <v>6.4313346228239004E-2</v>
      </c>
      <c r="E1225">
        <v>-0.21139376567538501</v>
      </c>
      <c r="F1225">
        <v>2.7334851936219999E-3</v>
      </c>
      <c r="G1225">
        <v>-0.265598932265598</v>
      </c>
      <c r="H1225">
        <v>-0.292055323255065</v>
      </c>
      <c r="I1225">
        <v>-0.20166848023213599</v>
      </c>
    </row>
    <row r="1226" spans="1:9" x14ac:dyDescent="0.2">
      <c r="A1226" s="1" t="s">
        <v>1226</v>
      </c>
      <c r="B1226" t="str">
        <f>HYPERLINK("https://www.suredividend.com/sure-analysis-research-database/","Netgear Inc")</f>
        <v>Netgear Inc</v>
      </c>
      <c r="C1226">
        <v>5.8321479374110002E-2</v>
      </c>
      <c r="D1226">
        <v>0.15887850467289699</v>
      </c>
      <c r="E1226">
        <v>0.163408913213448</v>
      </c>
      <c r="F1226">
        <v>2.0576131687242E-2</v>
      </c>
      <c r="G1226">
        <v>-0.22620904836193401</v>
      </c>
      <c r="H1226">
        <v>-0.44539694371971611</v>
      </c>
      <c r="I1226">
        <v>-0.57835080759421909</v>
      </c>
    </row>
    <row r="1227" spans="1:9" x14ac:dyDescent="0.2">
      <c r="A1227" s="1" t="s">
        <v>1227</v>
      </c>
      <c r="B1227" t="str">
        <f>HYPERLINK("https://www.suredividend.com/sure-analysis-research-database/","Intellia Therapeutics Inc")</f>
        <v>Intellia Therapeutics Inc</v>
      </c>
      <c r="C1227">
        <v>6.2622309197651008E-2</v>
      </c>
      <c r="D1227">
        <v>-0.10336856010568</v>
      </c>
      <c r="E1227">
        <v>-0.27773343974461301</v>
      </c>
      <c r="F1227">
        <v>-0.10954411282387599</v>
      </c>
      <c r="G1227">
        <v>-0.32763744427934599</v>
      </c>
      <c r="H1227">
        <v>-0.68619972260748907</v>
      </c>
      <c r="I1227">
        <v>0.95043103448275812</v>
      </c>
    </row>
    <row r="1228" spans="1:9" x14ac:dyDescent="0.2">
      <c r="A1228" s="1" t="s">
        <v>1228</v>
      </c>
      <c r="B1228" t="str">
        <f>HYPERLINK("https://www.suredividend.com/sure-analysis-NTST/","Netstreit Corp")</f>
        <v>Netstreit Corp</v>
      </c>
      <c r="C1228">
        <v>-7.2510822510822012E-2</v>
      </c>
      <c r="D1228">
        <v>0.105100613156758</v>
      </c>
      <c r="E1228">
        <v>2.2264369255727001E-2</v>
      </c>
      <c r="F1228">
        <v>-3.9775910364144997E-2</v>
      </c>
      <c r="G1228">
        <v>-8.5198251522445007E-2</v>
      </c>
      <c r="H1228">
        <v>-0.14100713655681099</v>
      </c>
      <c r="I1228">
        <v>0.110405680301636</v>
      </c>
    </row>
    <row r="1229" spans="1:9" x14ac:dyDescent="0.2">
      <c r="A1229" s="1" t="s">
        <v>1229</v>
      </c>
      <c r="B1229" t="str">
        <f>HYPERLINK("https://www.suredividend.com/sure-analysis-NUS/","Nu Skin Enterprises, Inc.")</f>
        <v>Nu Skin Enterprises, Inc.</v>
      </c>
      <c r="C1229">
        <v>-0.25028768699654702</v>
      </c>
      <c r="D1229">
        <v>-0.23943941489951601</v>
      </c>
      <c r="E1229">
        <v>-0.44302910098143111</v>
      </c>
      <c r="F1229">
        <v>-0.32904222451081311</v>
      </c>
      <c r="G1229">
        <v>-0.68363880923881504</v>
      </c>
      <c r="H1229">
        <v>-0.73234460375498101</v>
      </c>
      <c r="I1229">
        <v>-0.74568861200240411</v>
      </c>
    </row>
    <row r="1230" spans="1:9" x14ac:dyDescent="0.2">
      <c r="A1230" s="1" t="s">
        <v>1230</v>
      </c>
      <c r="B1230" t="str">
        <f>HYPERLINK("https://www.suredividend.com/sure-analysis-research-database/","Nuvation Bio Inc")</f>
        <v>Nuvation Bio Inc</v>
      </c>
      <c r="C1230">
        <v>0.21917808219178</v>
      </c>
      <c r="D1230">
        <v>0.31851851851851798</v>
      </c>
      <c r="E1230">
        <v>5.9523809523809007E-2</v>
      </c>
      <c r="F1230">
        <v>0.17880794701986699</v>
      </c>
      <c r="G1230">
        <v>-0.17209302325581299</v>
      </c>
      <c r="H1230">
        <v>-0.63449691991786406</v>
      </c>
      <c r="I1230">
        <v>-0.81649484536082406</v>
      </c>
    </row>
    <row r="1231" spans="1:9" x14ac:dyDescent="0.2">
      <c r="A1231" s="1" t="s">
        <v>1231</v>
      </c>
      <c r="B1231" t="str">
        <f>HYPERLINK("https://www.suredividend.com/sure-analysis-research-database/","Nuvalent Inc")</f>
        <v>Nuvalent Inc</v>
      </c>
      <c r="C1231">
        <v>8.7112171837708002E-2</v>
      </c>
      <c r="D1231">
        <v>0.35880013258203403</v>
      </c>
      <c r="E1231">
        <v>0.98667312818027608</v>
      </c>
      <c r="F1231">
        <v>0.114145943742356</v>
      </c>
      <c r="G1231">
        <v>1.520442668306178</v>
      </c>
      <c r="H1231">
        <v>3.6087689713322089</v>
      </c>
      <c r="I1231">
        <v>3.3727999999999998</v>
      </c>
    </row>
    <row r="1232" spans="1:9" x14ac:dyDescent="0.2">
      <c r="A1232" s="1" t="s">
        <v>1232</v>
      </c>
      <c r="B1232" t="str">
        <f>HYPERLINK("https://www.suredividend.com/sure-analysis-research-database/","Novavax, Inc.")</f>
        <v>Novavax, Inc.</v>
      </c>
      <c r="C1232">
        <v>1.9753086419752999E-2</v>
      </c>
      <c r="D1232">
        <v>-0.27543859649122798</v>
      </c>
      <c r="E1232">
        <v>-0.42156862745098012</v>
      </c>
      <c r="F1232">
        <v>-0.139583333333333</v>
      </c>
      <c r="G1232">
        <v>-0.58782435129740507</v>
      </c>
      <c r="H1232">
        <v>-0.94956649163512008</v>
      </c>
      <c r="I1232">
        <v>-0.89675000000000005</v>
      </c>
    </row>
    <row r="1233" spans="1:9" x14ac:dyDescent="0.2">
      <c r="A1233" s="1" t="s">
        <v>1233</v>
      </c>
      <c r="B1233" t="str">
        <f>HYPERLINK("https://www.suredividend.com/sure-analysis-research-database/","Nuvectis Pharma Inc")</f>
        <v>Nuvectis Pharma Inc</v>
      </c>
      <c r="C1233">
        <v>-0.14163614163614099</v>
      </c>
      <c r="D1233">
        <v>-0.15199034981905901</v>
      </c>
      <c r="E1233">
        <v>-0.52913596784996608</v>
      </c>
      <c r="F1233">
        <v>-0.15707434052757699</v>
      </c>
      <c r="G1233">
        <v>-0.29488465396188501</v>
      </c>
      <c r="H1233">
        <v>0.19965870307167199</v>
      </c>
      <c r="I1233">
        <v>1.1630769230769229</v>
      </c>
    </row>
    <row r="1234" spans="1:9" x14ac:dyDescent="0.2">
      <c r="A1234" s="1" t="s">
        <v>1234</v>
      </c>
      <c r="B1234" t="str">
        <f>HYPERLINK("https://www.suredividend.com/sure-analysis-research-database/","NVE Corp")</f>
        <v>NVE Corp</v>
      </c>
      <c r="C1234">
        <v>6.9915745792261008E-2</v>
      </c>
      <c r="D1234">
        <v>0.172874764008005</v>
      </c>
      <c r="E1234">
        <v>0.111868890404447</v>
      </c>
      <c r="F1234">
        <v>5.5183343009116002E-2</v>
      </c>
      <c r="G1234">
        <v>0.156195243696443</v>
      </c>
      <c r="H1234">
        <v>0.64114786803300206</v>
      </c>
      <c r="I1234">
        <v>0.11823499008553701</v>
      </c>
    </row>
    <row r="1235" spans="1:9" x14ac:dyDescent="0.2">
      <c r="A1235" s="1" t="s">
        <v>1235</v>
      </c>
      <c r="B1235" t="str">
        <f>HYPERLINK("https://www.suredividend.com/sure-analysis-research-database/","NV5 Global Inc")</f>
        <v>NV5 Global Inc</v>
      </c>
      <c r="C1235">
        <v>3.4030186556670013E-2</v>
      </c>
      <c r="D1235">
        <v>0.112680318773328</v>
      </c>
      <c r="E1235">
        <v>0.11866125760649</v>
      </c>
      <c r="F1235">
        <v>-7.3794096472280003E-3</v>
      </c>
      <c r="G1235">
        <v>-0.14303472923626701</v>
      </c>
      <c r="H1235">
        <v>5.8947772657450007E-2</v>
      </c>
      <c r="I1235">
        <v>0.38151302605210402</v>
      </c>
    </row>
    <row r="1236" spans="1:9" x14ac:dyDescent="0.2">
      <c r="A1236" s="1" t="s">
        <v>1236</v>
      </c>
      <c r="B1236" t="str">
        <f>HYPERLINK("https://www.suredividend.com/sure-analysis-research-database/","Enviri Corp")</f>
        <v>Enviri Corp</v>
      </c>
      <c r="C1236">
        <v>-4.5618247298919001E-2</v>
      </c>
      <c r="D1236">
        <v>0.356655290102388</v>
      </c>
      <c r="E1236">
        <v>0.10263522884882099</v>
      </c>
      <c r="F1236">
        <v>-0.116666666666666</v>
      </c>
      <c r="G1236">
        <v>-8.5155350978135008E-2</v>
      </c>
      <c r="H1236">
        <v>-0.50804455445544505</v>
      </c>
      <c r="I1236">
        <v>-0.63764813126709208</v>
      </c>
    </row>
    <row r="1237" spans="1:9" x14ac:dyDescent="0.2">
      <c r="A1237" s="1" t="s">
        <v>1237</v>
      </c>
      <c r="B1237" t="str">
        <f>HYPERLINK("https://www.suredividend.com/sure-analysis-research-database/","Nevro Corp")</f>
        <v>Nevro Corp</v>
      </c>
      <c r="C1237">
        <v>-7.630306286942401E-2</v>
      </c>
      <c r="D1237">
        <v>3.6791314837153012E-2</v>
      </c>
      <c r="E1237">
        <v>-8.5638297872340008E-2</v>
      </c>
      <c r="F1237">
        <v>-0.20120817843866101</v>
      </c>
      <c r="G1237">
        <v>-0.52223457476375701</v>
      </c>
      <c r="H1237">
        <v>-0.73545706371191111</v>
      </c>
      <c r="I1237">
        <v>-0.64512799339388904</v>
      </c>
    </row>
    <row r="1238" spans="1:9" x14ac:dyDescent="0.2">
      <c r="A1238" s="1" t="s">
        <v>1238</v>
      </c>
      <c r="B1238" t="str">
        <f>HYPERLINK("https://www.suredividend.com/sure-analysis-research-database/","Navitas Semiconductor Corp")</f>
        <v>Navitas Semiconductor Corp</v>
      </c>
      <c r="C1238">
        <v>0</v>
      </c>
      <c r="D1238">
        <v>-0.114245416078984</v>
      </c>
      <c r="E1238">
        <v>-0.20707070707070699</v>
      </c>
      <c r="F1238">
        <v>-0.22180916976456</v>
      </c>
      <c r="G1238">
        <v>8.8388214904679005E-2</v>
      </c>
      <c r="H1238">
        <v>-0.33685322069693702</v>
      </c>
      <c r="I1238">
        <v>-0.50937500000000002</v>
      </c>
    </row>
    <row r="1239" spans="1:9" x14ac:dyDescent="0.2">
      <c r="A1239" s="1" t="s">
        <v>1239</v>
      </c>
      <c r="B1239" t="str">
        <f>HYPERLINK("https://www.suredividend.com/sure-analysis-NWBI/","Northwest Bancshares Inc")</f>
        <v>Northwest Bancshares Inc</v>
      </c>
      <c r="C1239">
        <v>-1.9624287151961999E-2</v>
      </c>
      <c r="D1239">
        <v>6.0904445997330997E-2</v>
      </c>
      <c r="E1239">
        <v>7.9658277534056007E-2</v>
      </c>
      <c r="F1239">
        <v>-4.7906044859995001E-2</v>
      </c>
      <c r="G1239">
        <v>-5.7577272214250012E-2</v>
      </c>
      <c r="H1239">
        <v>-1.5554077155633001E-2</v>
      </c>
      <c r="I1239">
        <v>-0.10272253478965</v>
      </c>
    </row>
    <row r="1240" spans="1:9" x14ac:dyDescent="0.2">
      <c r="A1240" s="1" t="s">
        <v>1240</v>
      </c>
      <c r="B1240" t="str">
        <f>HYPERLINK("https://www.suredividend.com/sure-analysis-NWE/","NorthWestern Energy Group Inc")</f>
        <v>NorthWestern Energy Group Inc</v>
      </c>
      <c r="C1240">
        <v>3.1849820712929001E-2</v>
      </c>
      <c r="D1240">
        <v>-1.4758482905293999E-2</v>
      </c>
      <c r="E1240">
        <v>6.9570160479251006E-2</v>
      </c>
      <c r="F1240">
        <v>-3.8710945175869003E-2</v>
      </c>
      <c r="G1240">
        <v>6.9570160479251006E-2</v>
      </c>
      <c r="H1240">
        <v>6.9570160479251006E-2</v>
      </c>
      <c r="I1240">
        <v>6.9570160479251006E-2</v>
      </c>
    </row>
    <row r="1241" spans="1:9" x14ac:dyDescent="0.2">
      <c r="A1241" s="1" t="s">
        <v>1241</v>
      </c>
      <c r="B1241" t="str">
        <f>HYPERLINK("https://www.suredividend.com/sure-analysis-NWFL/","Norwood Financial Corp.")</f>
        <v>Norwood Financial Corp.</v>
      </c>
      <c r="C1241">
        <v>-6.6344160331720012E-2</v>
      </c>
      <c r="D1241">
        <v>5.3729033026229996E-3</v>
      </c>
      <c r="E1241">
        <v>-4.9751243781090007E-3</v>
      </c>
      <c r="F1241">
        <v>-0.163257659041431</v>
      </c>
      <c r="G1241">
        <v>-0.14923361755185799</v>
      </c>
      <c r="H1241">
        <v>6.4856961571353011E-2</v>
      </c>
      <c r="I1241">
        <v>6.6247849352043003E-2</v>
      </c>
    </row>
    <row r="1242" spans="1:9" x14ac:dyDescent="0.2">
      <c r="A1242" s="1" t="s">
        <v>1242</v>
      </c>
      <c r="B1242" t="str">
        <f>HYPERLINK("https://www.suredividend.com/sure-analysis-research-database/","National Western Life Group Inc")</f>
        <v>National Western Life Group Inc</v>
      </c>
      <c r="C1242">
        <v>7.8596839579700005E-4</v>
      </c>
      <c r="D1242">
        <v>8.5669619593530012E-3</v>
      </c>
      <c r="E1242">
        <v>6.4304575964172009E-2</v>
      </c>
      <c r="F1242">
        <v>1.7390584240810001E-3</v>
      </c>
      <c r="G1242">
        <v>0.81120712953653307</v>
      </c>
      <c r="H1242">
        <v>1.304739467651195</v>
      </c>
      <c r="I1242">
        <v>0.56687420803812305</v>
      </c>
    </row>
    <row r="1243" spans="1:9" x14ac:dyDescent="0.2">
      <c r="A1243" s="1" t="s">
        <v>1243</v>
      </c>
      <c r="B1243" t="str">
        <f>HYPERLINK("https://www.suredividend.com/sure-analysis-NWN/","Northwest Natural Holding Co")</f>
        <v>Northwest Natural Holding Co</v>
      </c>
      <c r="C1243">
        <v>4.3576514731590001E-2</v>
      </c>
      <c r="D1243">
        <v>7.9662316035576011E-2</v>
      </c>
      <c r="E1243">
        <v>-1.0473916284476E-2</v>
      </c>
      <c r="F1243">
        <v>1.8386081710139002E-2</v>
      </c>
      <c r="G1243">
        <v>-0.16322640751472201</v>
      </c>
      <c r="H1243">
        <v>-7.7898286247121001E-2</v>
      </c>
      <c r="I1243">
        <v>-0.26975720732480502</v>
      </c>
    </row>
    <row r="1244" spans="1:9" x14ac:dyDescent="0.2">
      <c r="A1244" s="1" t="s">
        <v>1244</v>
      </c>
      <c r="B1244" t="str">
        <f>HYPERLINK("https://www.suredividend.com/sure-analysis-research-database/","Northwest Pipe Co.")</f>
        <v>Northwest Pipe Co.</v>
      </c>
      <c r="C1244">
        <v>8.4269662921340003E-3</v>
      </c>
      <c r="D1244">
        <v>7.9293498684704006E-2</v>
      </c>
      <c r="E1244">
        <v>-8.8543319581085009E-2</v>
      </c>
      <c r="F1244">
        <v>-5.0892267019167013E-2</v>
      </c>
      <c r="G1244">
        <v>-0.26603628929210299</v>
      </c>
      <c r="H1244">
        <v>-1.1359724612736001E-2</v>
      </c>
      <c r="I1244">
        <v>0.18432989690721599</v>
      </c>
    </row>
    <row r="1245" spans="1:9" x14ac:dyDescent="0.2">
      <c r="A1245" s="1" t="s">
        <v>1245</v>
      </c>
      <c r="B1245" t="str">
        <f>HYPERLINK("https://www.suredividend.com/sure-analysis-research-database/","Quanex Building Products Corp")</f>
        <v>Quanex Building Products Corp</v>
      </c>
      <c r="C1245">
        <v>5.3427743804312013E-2</v>
      </c>
      <c r="D1245">
        <v>7.979532385611901E-2</v>
      </c>
      <c r="E1245">
        <v>0.26332610256370598</v>
      </c>
      <c r="F1245">
        <v>7.0657507360156011E-2</v>
      </c>
      <c r="G1245">
        <v>0.25345149146557699</v>
      </c>
      <c r="H1245">
        <v>0.47854684097828898</v>
      </c>
      <c r="I1245">
        <v>1.0381094713244901</v>
      </c>
    </row>
    <row r="1246" spans="1:9" x14ac:dyDescent="0.2">
      <c r="A1246" s="1" t="s">
        <v>1246</v>
      </c>
      <c r="B1246" t="str">
        <f>HYPERLINK("https://www.suredividend.com/sure-analysis-research-database/","NexPoint Diversified Real Estate Trust")</f>
        <v>NexPoint Diversified Real Estate Trust</v>
      </c>
      <c r="C1246">
        <v>2.1390535214656999E-2</v>
      </c>
      <c r="D1246">
        <v>-0.16620617670534699</v>
      </c>
      <c r="E1246">
        <v>-0.34183742705930198</v>
      </c>
      <c r="F1246">
        <v>-0.12635100360267601</v>
      </c>
      <c r="G1246">
        <v>-0.43156132272917502</v>
      </c>
      <c r="H1246">
        <v>-0.50465435233009404</v>
      </c>
      <c r="I1246">
        <v>-0.46229321254068412</v>
      </c>
    </row>
    <row r="1247" spans="1:9" x14ac:dyDescent="0.2">
      <c r="A1247" s="1" t="s">
        <v>1247</v>
      </c>
      <c r="B1247" t="str">
        <f>HYPERLINK("https://www.suredividend.com/sure-analysis-NXRT/","NexPoint Residential Trust Inc")</f>
        <v>NexPoint Residential Trust Inc</v>
      </c>
      <c r="C1247">
        <v>-9.4456488076803014E-2</v>
      </c>
      <c r="D1247">
        <v>-4.3372145902106002E-2</v>
      </c>
      <c r="E1247">
        <v>-0.193606212872515</v>
      </c>
      <c r="F1247">
        <v>-0.150740633168748</v>
      </c>
      <c r="G1247">
        <v>-0.37112464163352699</v>
      </c>
      <c r="H1247">
        <v>-0.62916554638474409</v>
      </c>
      <c r="I1247">
        <v>-8.446757280580601E-2</v>
      </c>
    </row>
    <row r="1248" spans="1:9" x14ac:dyDescent="0.2">
      <c r="A1248" s="1" t="s">
        <v>1248</v>
      </c>
      <c r="B1248" t="str">
        <f>HYPERLINK("https://www.suredividend.com/sure-analysis-research-database/","Nextracker Inc")</f>
        <v>Nextracker Inc</v>
      </c>
      <c r="C1248">
        <v>0.35263036985986601</v>
      </c>
      <c r="D1248">
        <v>0.48349710254472111</v>
      </c>
      <c r="E1248">
        <v>0.57433155080213905</v>
      </c>
      <c r="F1248">
        <v>0.25677694770544202</v>
      </c>
      <c r="G1248">
        <v>0.86093552465233802</v>
      </c>
      <c r="H1248">
        <v>0.93302692055154313</v>
      </c>
      <c r="I1248">
        <v>0.93302692055154313</v>
      </c>
    </row>
    <row r="1249" spans="1:9" x14ac:dyDescent="0.2">
      <c r="A1249" s="1" t="s">
        <v>1249</v>
      </c>
      <c r="B1249" t="str">
        <f>HYPERLINK("https://www.suredividend.com/sure-analysis-NYMT/","New York Mortgage Trust Inc")</f>
        <v>New York Mortgage Trust Inc</v>
      </c>
      <c r="C1249">
        <v>-9.6269554753309006E-2</v>
      </c>
      <c r="D1249">
        <v>-8.9111793030674014E-2</v>
      </c>
      <c r="E1249">
        <v>-8.3072865794100004E-2</v>
      </c>
      <c r="F1249">
        <v>-0.11957796014067899</v>
      </c>
      <c r="G1249">
        <v>-0.218985617271753</v>
      </c>
      <c r="H1249">
        <v>-0.25096994903404002</v>
      </c>
      <c r="I1249">
        <v>-0.42257863617840802</v>
      </c>
    </row>
    <row r="1250" spans="1:9" x14ac:dyDescent="0.2">
      <c r="A1250" s="1" t="s">
        <v>1250</v>
      </c>
      <c r="B1250" t="str">
        <f>HYPERLINK("https://www.suredividend.com/sure-analysis-research-database/","OmniAb Inc")</f>
        <v>OmniAb Inc</v>
      </c>
      <c r="C1250">
        <v>-7.5125208681135008E-2</v>
      </c>
      <c r="D1250">
        <v>0.225663716814159</v>
      </c>
      <c r="E1250">
        <v>-2.6362038664323E-2</v>
      </c>
      <c r="F1250">
        <v>-0.10210696920583399</v>
      </c>
      <c r="G1250">
        <v>0.50543478260869501</v>
      </c>
      <c r="H1250">
        <v>1.2987551867219911</v>
      </c>
      <c r="I1250">
        <v>1.2987551867219911</v>
      </c>
    </row>
    <row r="1251" spans="1:9" x14ac:dyDescent="0.2">
      <c r="A1251" s="1" t="s">
        <v>1251</v>
      </c>
      <c r="B1251" t="str">
        <f>HYPERLINK("https://www.suredividend.com/sure-analysis-research-database/","Outbrain Inc")</f>
        <v>Outbrain Inc</v>
      </c>
      <c r="C1251">
        <v>5.7644110275688998E-2</v>
      </c>
      <c r="D1251">
        <v>0.110526315789473</v>
      </c>
      <c r="E1251">
        <v>-0.20377358490566</v>
      </c>
      <c r="F1251">
        <v>-3.6529680365295997E-2</v>
      </c>
      <c r="G1251">
        <v>-0.156</v>
      </c>
      <c r="H1251">
        <v>-0.64597315436241609</v>
      </c>
      <c r="I1251">
        <v>-0.78900000000000003</v>
      </c>
    </row>
    <row r="1252" spans="1:9" x14ac:dyDescent="0.2">
      <c r="A1252" s="1" t="s">
        <v>1252</v>
      </c>
      <c r="B1252" t="str">
        <f>HYPERLINK("https://www.suredividend.com/sure-analysis-research-database/","Orchestra BioMed Holdings Inc")</f>
        <v>Orchestra BioMed Holdings Inc</v>
      </c>
      <c r="C1252">
        <v>-0.32339449541284399</v>
      </c>
      <c r="D1252">
        <v>-0.124629080118694</v>
      </c>
      <c r="E1252">
        <v>0.106941838649155</v>
      </c>
      <c r="F1252">
        <v>-0.35377875136911202</v>
      </c>
      <c r="G1252">
        <v>-0.41058941058941001</v>
      </c>
      <c r="H1252">
        <v>-0.40283400809716602</v>
      </c>
      <c r="I1252">
        <v>-0.48245614035087703</v>
      </c>
    </row>
    <row r="1253" spans="1:9" x14ac:dyDescent="0.2">
      <c r="A1253" s="1" t="s">
        <v>1253</v>
      </c>
      <c r="B1253" t="str">
        <f>HYPERLINK("https://www.suredividend.com/sure-analysis-research-database/","Origin Bancorp Inc")</f>
        <v>Origin Bancorp Inc</v>
      </c>
      <c r="C1253">
        <v>-7.4475510499014005E-2</v>
      </c>
      <c r="D1253">
        <v>-8.3448790365554013E-2</v>
      </c>
      <c r="E1253">
        <v>-1.9927064339671001E-2</v>
      </c>
      <c r="F1253">
        <v>-0.149412359801397</v>
      </c>
      <c r="G1253">
        <v>-0.23631778313962101</v>
      </c>
      <c r="H1253">
        <v>-0.31387566788846899</v>
      </c>
      <c r="I1253">
        <v>-0.11228555502797299</v>
      </c>
    </row>
    <row r="1254" spans="1:9" x14ac:dyDescent="0.2">
      <c r="A1254" s="1" t="s">
        <v>1254</v>
      </c>
      <c r="B1254" t="str">
        <f>HYPERLINK("https://www.suredividend.com/sure-analysis-research-database/","Orange County Bancorp Inc")</f>
        <v>Orange County Bancorp Inc</v>
      </c>
      <c r="C1254">
        <v>-0.122932855150428</v>
      </c>
      <c r="D1254">
        <v>-7.1568526130853002E-2</v>
      </c>
      <c r="E1254">
        <v>-6.8858367900362011E-2</v>
      </c>
      <c r="F1254">
        <v>-0.26925630810092899</v>
      </c>
      <c r="G1254">
        <v>-0.148033529003052</v>
      </c>
      <c r="H1254">
        <v>0.139511164724337</v>
      </c>
      <c r="I1254">
        <v>0.10187734668335401</v>
      </c>
    </row>
    <row r="1255" spans="1:9" x14ac:dyDescent="0.2">
      <c r="A1255" s="1" t="s">
        <v>1255</v>
      </c>
      <c r="B1255" t="str">
        <f>HYPERLINK("https://www.suredividend.com/sure-analysis-research-database/","OceanFirst Financial Corp.")</f>
        <v>OceanFirst Financial Corp.</v>
      </c>
      <c r="C1255">
        <v>-0.108725172040783</v>
      </c>
      <c r="D1255">
        <v>0.108733152481228</v>
      </c>
      <c r="E1255">
        <v>-6.9138547519605006E-2</v>
      </c>
      <c r="F1255">
        <v>-9.6914116474175013E-2</v>
      </c>
      <c r="G1255">
        <v>-0.31915379915696301</v>
      </c>
      <c r="H1255">
        <v>-0.23662617352093199</v>
      </c>
      <c r="I1255">
        <v>-0.25569639716693698</v>
      </c>
    </row>
    <row r="1256" spans="1:9" x14ac:dyDescent="0.2">
      <c r="A1256" s="1" t="s">
        <v>1256</v>
      </c>
      <c r="B1256" t="str">
        <f>HYPERLINK("https://www.suredividend.com/sure-analysis-research-database/","Ocwen Financial Corp.")</f>
        <v>Ocwen Financial Corp.</v>
      </c>
      <c r="C1256">
        <v>-6.2733129874533E-2</v>
      </c>
      <c r="D1256">
        <v>3.5593855376544997E-2</v>
      </c>
      <c r="E1256">
        <v>-7.989347536617801E-2</v>
      </c>
      <c r="F1256">
        <v>-0.10143042912873799</v>
      </c>
      <c r="G1256">
        <v>-0.22814856185422999</v>
      </c>
      <c r="H1256">
        <v>-0.217218918153497</v>
      </c>
      <c r="I1256">
        <v>12.099526066350711</v>
      </c>
    </row>
    <row r="1257" spans="1:9" x14ac:dyDescent="0.2">
      <c r="A1257" s="1" t="s">
        <v>1257</v>
      </c>
      <c r="B1257" t="str">
        <f>HYPERLINK("https://www.suredividend.com/sure-analysis-research-database/","Ocular Therapeutix Inc")</f>
        <v>Ocular Therapeutix Inc</v>
      </c>
      <c r="C1257">
        <v>0.95324675324675312</v>
      </c>
      <c r="D1257">
        <v>2.2000000000000002</v>
      </c>
      <c r="E1257">
        <v>0.79047619047619011</v>
      </c>
      <c r="F1257">
        <v>0.68609865470852005</v>
      </c>
      <c r="G1257">
        <v>0.19936204146730399</v>
      </c>
      <c r="H1257">
        <v>0.53469387755102005</v>
      </c>
      <c r="I1257">
        <v>1.021505376344086</v>
      </c>
    </row>
    <row r="1258" spans="1:9" x14ac:dyDescent="0.2">
      <c r="A1258" s="1" t="s">
        <v>1258</v>
      </c>
      <c r="B1258" t="str">
        <f>HYPERLINK("https://www.suredividend.com/sure-analysis-ODC/","Oil-Dri Corp. Of America")</f>
        <v>Oil-Dri Corp. Of America</v>
      </c>
      <c r="C1258">
        <v>1.6324062877870998E-2</v>
      </c>
      <c r="D1258">
        <v>0.162316335350043</v>
      </c>
      <c r="E1258">
        <v>7.0843380712020008E-3</v>
      </c>
      <c r="F1258">
        <v>2.3852116875369999E-3</v>
      </c>
      <c r="G1258">
        <v>0.84653239670238511</v>
      </c>
      <c r="H1258">
        <v>1.3038048412793579</v>
      </c>
      <c r="I1258">
        <v>1.7217933720040639</v>
      </c>
    </row>
    <row r="1259" spans="1:9" x14ac:dyDescent="0.2">
      <c r="A1259" s="1" t="s">
        <v>1259</v>
      </c>
      <c r="B1259" t="str">
        <f>HYPERLINK("https://www.suredividend.com/sure-analysis-research-database/","ODP Corporation (The)")</f>
        <v>ODP Corporation (The)</v>
      </c>
      <c r="C1259">
        <v>1.9684272071720001E-2</v>
      </c>
      <c r="D1259">
        <v>6.492977813962901E-2</v>
      </c>
      <c r="E1259">
        <v>7.1033776867963E-2</v>
      </c>
      <c r="F1259">
        <v>-7.0692717584369E-2</v>
      </c>
      <c r="G1259">
        <v>2.4908986395860001E-3</v>
      </c>
      <c r="H1259">
        <v>0.179175118323191</v>
      </c>
      <c r="I1259">
        <v>0.64539167680884502</v>
      </c>
    </row>
    <row r="1260" spans="1:9" x14ac:dyDescent="0.2">
      <c r="A1260" s="1" t="s">
        <v>1260</v>
      </c>
      <c r="B1260" t="str">
        <f>HYPERLINK("https://www.suredividend.com/sure-analysis-research-database/","Orion S.A")</f>
        <v>Orion S.A</v>
      </c>
      <c r="C1260">
        <v>-2.5574338968357001E-2</v>
      </c>
      <c r="D1260">
        <v>-3.8547899389682998E-2</v>
      </c>
      <c r="E1260">
        <v>4.6925355339878003E-2</v>
      </c>
      <c r="F1260">
        <v>-0.189325640100973</v>
      </c>
      <c r="G1260">
        <v>-5.8910211326568013E-2</v>
      </c>
      <c r="H1260">
        <v>0.25758016514130999</v>
      </c>
      <c r="I1260">
        <v>-0.143165333262184</v>
      </c>
    </row>
    <row r="1261" spans="1:9" x14ac:dyDescent="0.2">
      <c r="A1261" s="1" t="s">
        <v>1261</v>
      </c>
      <c r="B1261" t="str">
        <f>HYPERLINK("https://www.suredividend.com/sure-analysis-research-database/","OFG Bancorp")</f>
        <v>OFG Bancorp</v>
      </c>
      <c r="C1261">
        <v>5.0890585241720014E-3</v>
      </c>
      <c r="D1261">
        <v>6.452424300498201E-2</v>
      </c>
      <c r="E1261">
        <v>0.15432196978306501</v>
      </c>
      <c r="F1261">
        <v>-5.1494130202773998E-2</v>
      </c>
      <c r="G1261">
        <v>0.23418644373776201</v>
      </c>
      <c r="H1261">
        <v>0.35475536281148801</v>
      </c>
      <c r="I1261">
        <v>0.87131855579477002</v>
      </c>
    </row>
    <row r="1262" spans="1:9" x14ac:dyDescent="0.2">
      <c r="A1262" s="1" t="s">
        <v>1262</v>
      </c>
      <c r="B1262" t="str">
        <f>HYPERLINK("https://www.suredividend.com/sure-analysis-research-database/","Orthofix Medical Inc")</f>
        <v>Orthofix Medical Inc</v>
      </c>
      <c r="C1262">
        <v>1.8504811250924999E-2</v>
      </c>
      <c r="D1262">
        <v>0.27171903881700499</v>
      </c>
      <c r="E1262">
        <v>-0.24520021941854001</v>
      </c>
      <c r="F1262">
        <v>2.0771513353115001E-2</v>
      </c>
      <c r="G1262">
        <v>-0.36677404509894102</v>
      </c>
      <c r="H1262">
        <v>-0.56220171810372199</v>
      </c>
      <c r="I1262">
        <v>-0.79072243346007609</v>
      </c>
    </row>
    <row r="1263" spans="1:9" x14ac:dyDescent="0.2">
      <c r="A1263" s="1" t="s">
        <v>1263</v>
      </c>
      <c r="B1263" t="str">
        <f>HYPERLINK("https://www.suredividend.com/sure-analysis-research-database/","Omega Flex Inc")</f>
        <v>Omega Flex Inc</v>
      </c>
      <c r="C1263">
        <v>-1.1495807411414E-2</v>
      </c>
      <c r="D1263">
        <v>7.370029233323E-2</v>
      </c>
      <c r="E1263">
        <v>-9.2899321629182005E-2</v>
      </c>
      <c r="F1263">
        <v>3.6590554531272003E-2</v>
      </c>
      <c r="G1263">
        <v>-0.40132267634729002</v>
      </c>
      <c r="H1263">
        <v>-0.49940756265110497</v>
      </c>
      <c r="I1263">
        <v>0.13434781596529699</v>
      </c>
    </row>
    <row r="1264" spans="1:9" x14ac:dyDescent="0.2">
      <c r="A1264" s="1" t="s">
        <v>1264</v>
      </c>
      <c r="B1264" t="str">
        <f>HYPERLINK("https://www.suredividend.com/sure-analysis-OGS/","ONE Gas Inc")</f>
        <v>ONE Gas Inc</v>
      </c>
      <c r="C1264">
        <v>2.3149712740790002E-2</v>
      </c>
      <c r="D1264">
        <v>2.317497103128E-3</v>
      </c>
      <c r="E1264">
        <v>-0.181045151395063</v>
      </c>
      <c r="F1264">
        <v>-4.9748901443816003E-2</v>
      </c>
      <c r="G1264">
        <v>-0.23258552140458999</v>
      </c>
      <c r="H1264">
        <v>-0.15897638189000399</v>
      </c>
      <c r="I1264">
        <v>-0.16995099215189</v>
      </c>
    </row>
    <row r="1265" spans="1:9" x14ac:dyDescent="0.2">
      <c r="A1265" s="1" t="s">
        <v>1265</v>
      </c>
      <c r="B1265" t="str">
        <f>HYPERLINK("https://www.suredividend.com/sure-analysis-research-database/","O-I Glass Inc")</f>
        <v>O-I Glass Inc</v>
      </c>
      <c r="C1265">
        <v>9.7333333333333008E-2</v>
      </c>
      <c r="D1265">
        <v>0.10321715817694301</v>
      </c>
      <c r="E1265">
        <v>-0.14315460697553301</v>
      </c>
      <c r="F1265">
        <v>4.8840048840050002E-3</v>
      </c>
      <c r="G1265">
        <v>-0.25215810995002202</v>
      </c>
      <c r="H1265">
        <v>0.232958801498127</v>
      </c>
      <c r="I1265">
        <v>-0.175272195249046</v>
      </c>
    </row>
    <row r="1266" spans="1:9" x14ac:dyDescent="0.2">
      <c r="A1266" s="1" t="s">
        <v>1266</v>
      </c>
      <c r="B1266" t="str">
        <f>HYPERLINK("https://www.suredividend.com/sure-analysis-research-database/","Oceaneering International, Inc.")</f>
        <v>Oceaneering International, Inc.</v>
      </c>
      <c r="C1266">
        <v>7.273626917367601E-2</v>
      </c>
      <c r="D1266">
        <v>3.1398667935299003E-2</v>
      </c>
      <c r="E1266">
        <v>1.1194029850746001E-2</v>
      </c>
      <c r="F1266">
        <v>1.8796992481203E-2</v>
      </c>
      <c r="G1266">
        <v>8.6716791979949012E-2</v>
      </c>
      <c r="H1266">
        <v>0.49208534067446602</v>
      </c>
      <c r="I1266">
        <v>0.30523780854906601</v>
      </c>
    </row>
    <row r="1267" spans="1:9" x14ac:dyDescent="0.2">
      <c r="A1267" s="1" t="s">
        <v>1267</v>
      </c>
      <c r="B1267" t="str">
        <f>HYPERLINK("https://www.suredividend.com/sure-analysis-research-database/","Oil States International, Inc.")</f>
        <v>Oil States International, Inc.</v>
      </c>
      <c r="C1267">
        <v>-3.2894736842100001E-3</v>
      </c>
      <c r="D1267">
        <v>-0.15716272600834499</v>
      </c>
      <c r="E1267">
        <v>-0.212987012987013</v>
      </c>
      <c r="F1267">
        <v>-0.107511045655375</v>
      </c>
      <c r="G1267">
        <v>-0.37846153846153802</v>
      </c>
      <c r="H1267">
        <v>0.103825136612021</v>
      </c>
      <c r="I1267">
        <v>-0.67436861902203105</v>
      </c>
    </row>
    <row r="1268" spans="1:9" x14ac:dyDescent="0.2">
      <c r="A1268" s="1" t="s">
        <v>1268</v>
      </c>
      <c r="B1268" t="str">
        <f>HYPERLINK("https://www.suredividend.com/sure-analysis-research-database/","Olema Pharmaceuticals Inc")</f>
        <v>Olema Pharmaceuticals Inc</v>
      </c>
      <c r="C1268">
        <v>0.27127659574468099</v>
      </c>
      <c r="D1268">
        <v>-0.100940438871473</v>
      </c>
      <c r="E1268">
        <v>0.644495412844036</v>
      </c>
      <c r="F1268">
        <v>2.2095509622238E-2</v>
      </c>
      <c r="G1268">
        <v>2.151648351648352</v>
      </c>
      <c r="H1268">
        <v>2.1866666666666661</v>
      </c>
      <c r="I1268">
        <v>-0.70734693877551003</v>
      </c>
    </row>
    <row r="1269" spans="1:9" x14ac:dyDescent="0.2">
      <c r="A1269" s="1" t="s">
        <v>1269</v>
      </c>
      <c r="B1269" t="str">
        <f>HYPERLINK("https://www.suredividend.com/sure-analysis-research-database/","Olo Inc")</f>
        <v>Olo Inc</v>
      </c>
      <c r="C1269">
        <v>0.17871485943775101</v>
      </c>
      <c r="D1269">
        <v>0.157790927021696</v>
      </c>
      <c r="E1269">
        <v>-0.106544901065449</v>
      </c>
      <c r="F1269">
        <v>2.6223776223775998E-2</v>
      </c>
      <c r="G1269">
        <v>-0.27886977886977798</v>
      </c>
      <c r="H1269">
        <v>-0.6409785932721711</v>
      </c>
      <c r="I1269">
        <v>4.3555555555555001E-2</v>
      </c>
    </row>
    <row r="1270" spans="1:9" x14ac:dyDescent="0.2">
      <c r="A1270" s="1" t="s">
        <v>1270</v>
      </c>
      <c r="B1270" t="str">
        <f>HYPERLINK("https://www.suredividend.com/sure-analysis-OLP/","One Liberty Properties, Inc.")</f>
        <v>One Liberty Properties, Inc.</v>
      </c>
      <c r="C1270">
        <v>-3.9150943396225997E-2</v>
      </c>
      <c r="D1270">
        <v>5.0216539492679013E-2</v>
      </c>
      <c r="E1270">
        <v>9.1318207387961009E-2</v>
      </c>
      <c r="F1270">
        <v>-7.0287539936102011E-2</v>
      </c>
      <c r="G1270">
        <v>-6.3586047110310004E-2</v>
      </c>
      <c r="H1270">
        <v>-0.19111778230465901</v>
      </c>
      <c r="I1270">
        <v>5.0178638634405998E-2</v>
      </c>
    </row>
    <row r="1271" spans="1:9" x14ac:dyDescent="0.2">
      <c r="A1271" s="1" t="s">
        <v>1271</v>
      </c>
      <c r="B1271" t="str">
        <f>HYPERLINK("https://www.suredividend.com/sure-analysis-research-database/","Outset Medical Inc")</f>
        <v>Outset Medical Inc</v>
      </c>
      <c r="C1271">
        <v>-7.0735090152565003E-2</v>
      </c>
      <c r="D1271">
        <v>-0.37616387337057711</v>
      </c>
      <c r="E1271">
        <v>-0.76441631504922603</v>
      </c>
      <c r="F1271">
        <v>-0.38077634011090511</v>
      </c>
      <c r="G1271">
        <v>-0.86898709425107512</v>
      </c>
      <c r="H1271">
        <v>-0.91870905120116408</v>
      </c>
      <c r="I1271">
        <v>-0.94479235332893807</v>
      </c>
    </row>
    <row r="1272" spans="1:9" x14ac:dyDescent="0.2">
      <c r="A1272" s="1" t="s">
        <v>1272</v>
      </c>
      <c r="B1272" t="str">
        <f>HYPERLINK("https://www.suredividend.com/sure-analysis-research-database/","Omnicell, Inc.")</f>
        <v>Omnicell, Inc.</v>
      </c>
      <c r="C1272">
        <v>-0.13866829566279701</v>
      </c>
      <c r="D1272">
        <v>-0.145454545454545</v>
      </c>
      <c r="E1272">
        <v>-0.51770138532580801</v>
      </c>
      <c r="F1272">
        <v>-0.25059792718575602</v>
      </c>
      <c r="G1272">
        <v>-0.47787446769116798</v>
      </c>
      <c r="H1272">
        <v>-0.77608384945212006</v>
      </c>
      <c r="I1272">
        <v>-0.66488413547237002</v>
      </c>
    </row>
    <row r="1273" spans="1:9" x14ac:dyDescent="0.2">
      <c r="A1273" s="1" t="s">
        <v>1273</v>
      </c>
      <c r="B1273" t="str">
        <f>HYPERLINK("https://www.suredividend.com/sure-analysis-research-database/","Omeros Corporation")</f>
        <v>Omeros Corporation</v>
      </c>
      <c r="C1273">
        <v>0.197943444730077</v>
      </c>
      <c r="D1273">
        <v>1.6628571428571419</v>
      </c>
      <c r="E1273">
        <v>0.320113314447592</v>
      </c>
      <c r="F1273">
        <v>0.42507645259938798</v>
      </c>
      <c r="G1273">
        <v>4.0178571428571001E-2</v>
      </c>
      <c r="H1273">
        <v>-0.34273624823695298</v>
      </c>
      <c r="I1273">
        <v>-0.68256130790190706</v>
      </c>
    </row>
    <row r="1274" spans="1:9" x14ac:dyDescent="0.2">
      <c r="A1274" s="1" t="s">
        <v>1274</v>
      </c>
      <c r="B1274" t="str">
        <f>HYPERLINK("https://www.suredividend.com/sure-analysis-research-database/","Omega Therapeutics Inc")</f>
        <v>Omega Therapeutics Inc</v>
      </c>
      <c r="C1274">
        <v>0.15430267062314501</v>
      </c>
      <c r="D1274">
        <v>0.94500000000000006</v>
      </c>
      <c r="E1274">
        <v>0.18960244648318</v>
      </c>
      <c r="F1274">
        <v>0.29235880398671099</v>
      </c>
      <c r="G1274">
        <v>-0.36229508196721311</v>
      </c>
      <c r="H1274">
        <v>-0.66173913043478205</v>
      </c>
      <c r="I1274">
        <v>-0.75687499999999996</v>
      </c>
    </row>
    <row r="1275" spans="1:9" x14ac:dyDescent="0.2">
      <c r="A1275" s="1" t="s">
        <v>1275</v>
      </c>
      <c r="B1275" t="str">
        <f>HYPERLINK("https://www.suredividend.com/sure-analysis-research-database/","Owens &amp; Minor, Inc.")</f>
        <v>Owens &amp; Minor, Inc.</v>
      </c>
      <c r="C1275">
        <v>0.15310492505353299</v>
      </c>
      <c r="D1275">
        <v>0.13368421052631499</v>
      </c>
      <c r="E1275">
        <v>0.31662591687041503</v>
      </c>
      <c r="F1275">
        <v>0.117799688635184</v>
      </c>
      <c r="G1275">
        <v>5.17578125E-2</v>
      </c>
      <c r="H1275">
        <v>-0.42498665242925698</v>
      </c>
      <c r="I1275">
        <v>2.300491856028684</v>
      </c>
    </row>
    <row r="1276" spans="1:9" x14ac:dyDescent="0.2">
      <c r="A1276" s="1" t="s">
        <v>1276</v>
      </c>
      <c r="B1276" t="str">
        <f>HYPERLINK("https://www.suredividend.com/sure-analysis-research-database/","Old National Bancorp")</f>
        <v>Old National Bancorp</v>
      </c>
      <c r="C1276">
        <v>-1.6206482593036999E-2</v>
      </c>
      <c r="D1276">
        <v>9.8694839016738006E-2</v>
      </c>
      <c r="E1276">
        <v>6.8385818302706999E-2</v>
      </c>
      <c r="F1276">
        <v>-2.9603315571342999E-2</v>
      </c>
      <c r="G1276">
        <v>-4.4782730324505013E-2</v>
      </c>
      <c r="H1276">
        <v>-2.8861593520212999E-2</v>
      </c>
      <c r="I1276">
        <v>9.5244141212319014E-2</v>
      </c>
    </row>
    <row r="1277" spans="1:9" x14ac:dyDescent="0.2">
      <c r="A1277" s="1" t="s">
        <v>1277</v>
      </c>
      <c r="B1277" t="str">
        <f>HYPERLINK("https://www.suredividend.com/sure-analysis-research-database/","Onewater Marine Inc")</f>
        <v>Onewater Marine Inc</v>
      </c>
      <c r="C1277">
        <v>-0.14518871132267899</v>
      </c>
      <c r="D1277">
        <v>-2.7089783281733001E-2</v>
      </c>
      <c r="E1277">
        <v>-8.8139281828073013E-2</v>
      </c>
      <c r="F1277">
        <v>-0.25599289730689501</v>
      </c>
      <c r="G1277">
        <v>-0.166169154228855</v>
      </c>
      <c r="H1277">
        <v>-0.51429675425038601</v>
      </c>
      <c r="I1277">
        <v>0.73349422513359708</v>
      </c>
    </row>
    <row r="1278" spans="1:9" x14ac:dyDescent="0.2">
      <c r="A1278" s="1" t="s">
        <v>1278</v>
      </c>
      <c r="B1278" t="str">
        <f>HYPERLINK("https://www.suredividend.com/sure-analysis-research-database/","Orion Office REIT Inc")</f>
        <v>Orion Office REIT Inc</v>
      </c>
      <c r="C1278">
        <v>-8.5436893203883008E-2</v>
      </c>
      <c r="D1278">
        <v>-5.3095032267143003E-2</v>
      </c>
      <c r="E1278">
        <v>-0.18187976585433599</v>
      </c>
      <c r="F1278">
        <v>-0.17657342657342601</v>
      </c>
      <c r="G1278">
        <v>-0.44758509066172503</v>
      </c>
      <c r="H1278">
        <v>-0.68689131605363407</v>
      </c>
      <c r="I1278">
        <v>-0.81159999999999999</v>
      </c>
    </row>
    <row r="1279" spans="1:9" x14ac:dyDescent="0.2">
      <c r="A1279" s="1" t="s">
        <v>1279</v>
      </c>
      <c r="B1279" t="str">
        <f>HYPERLINK("https://www.suredividend.com/sure-analysis-research-database/","ON24 Inc")</f>
        <v>ON24 Inc</v>
      </c>
      <c r="C1279">
        <v>0.13061797752809001</v>
      </c>
      <c r="D1279">
        <v>0.14184397163120499</v>
      </c>
      <c r="E1279">
        <v>0.17176128093158599</v>
      </c>
      <c r="F1279">
        <v>2.1573604060913E-2</v>
      </c>
      <c r="G1279">
        <v>-8.1060718484948002E-2</v>
      </c>
      <c r="H1279">
        <v>-0.37859910765288002</v>
      </c>
      <c r="I1279">
        <v>-0.86829684092385206</v>
      </c>
    </row>
    <row r="1280" spans="1:9" x14ac:dyDescent="0.2">
      <c r="A1280" s="1" t="s">
        <v>1280</v>
      </c>
      <c r="B1280" t="str">
        <f>HYPERLINK("https://www.suredividend.com/sure-analysis-research-database/","Onto Innovation Inc.")</f>
        <v>Onto Innovation Inc.</v>
      </c>
      <c r="C1280">
        <v>3.6409406274942997E-2</v>
      </c>
      <c r="D1280">
        <v>0.23926290287056701</v>
      </c>
      <c r="E1280">
        <v>0.52940110537283602</v>
      </c>
      <c r="F1280">
        <v>0.103989535644211</v>
      </c>
      <c r="G1280">
        <v>1.110527631907976</v>
      </c>
      <c r="H1280">
        <v>0.96782466775472109</v>
      </c>
      <c r="I1280">
        <v>4.5986733001658378</v>
      </c>
    </row>
    <row r="1281" spans="1:9" x14ac:dyDescent="0.2">
      <c r="A1281" s="1" t="s">
        <v>1281</v>
      </c>
      <c r="B1281" t="str">
        <f>HYPERLINK("https://www.suredividend.com/sure-analysis-research-database/","Ooma Inc")</f>
        <v>Ooma Inc</v>
      </c>
      <c r="C1281">
        <v>-2.8382213812676998E-2</v>
      </c>
      <c r="D1281">
        <v>-0.14630091438071399</v>
      </c>
      <c r="E1281">
        <v>-0.28927335640138402</v>
      </c>
      <c r="F1281">
        <v>-4.2870456663560007E-2</v>
      </c>
      <c r="G1281">
        <v>-0.25633598841419197</v>
      </c>
      <c r="H1281">
        <v>-0.38206979542719599</v>
      </c>
      <c r="I1281">
        <v>-0.33741935483870911</v>
      </c>
    </row>
    <row r="1282" spans="1:9" x14ac:dyDescent="0.2">
      <c r="A1282" s="1" t="s">
        <v>1282</v>
      </c>
      <c r="B1282" t="str">
        <f>HYPERLINK("https://www.suredividend.com/sure-analysis-research-database/","Option Care Health Inc.")</f>
        <v>Option Care Health Inc.</v>
      </c>
      <c r="C1282">
        <v>4.4333437402435012E-2</v>
      </c>
      <c r="D1282">
        <v>0.126641966992253</v>
      </c>
      <c r="E1282">
        <v>-3.7410071942445E-2</v>
      </c>
      <c r="F1282">
        <v>-7.1237756010680007E-3</v>
      </c>
      <c r="G1282">
        <v>0.13852961198093899</v>
      </c>
      <c r="H1282">
        <v>0.41437632135306501</v>
      </c>
      <c r="I1282">
        <v>8.2916666666666679</v>
      </c>
    </row>
    <row r="1283" spans="1:9" x14ac:dyDescent="0.2">
      <c r="A1283" s="1" t="s">
        <v>1283</v>
      </c>
      <c r="B1283" t="str">
        <f>HYPERLINK("https://www.suredividend.com/sure-analysis-research-database/","Opendoor Technologies Inc")</f>
        <v>Opendoor Technologies Inc</v>
      </c>
      <c r="C1283">
        <v>-0.11269841269841201</v>
      </c>
      <c r="D1283">
        <v>0.11799999999999899</v>
      </c>
      <c r="E1283">
        <v>-0.115506329113924</v>
      </c>
      <c r="F1283">
        <v>-0.37611607142857101</v>
      </c>
      <c r="G1283">
        <v>0.39054726368159198</v>
      </c>
      <c r="H1283">
        <v>-0.739028944911297</v>
      </c>
      <c r="I1283">
        <v>-0.74129472963216603</v>
      </c>
    </row>
    <row r="1284" spans="1:9" x14ac:dyDescent="0.2">
      <c r="A1284" s="1" t="s">
        <v>1284</v>
      </c>
      <c r="B1284" t="str">
        <f>HYPERLINK("https://www.suredividend.com/sure-analysis-research-database/","OppFi Inc")</f>
        <v>OppFi Inc</v>
      </c>
      <c r="C1284">
        <v>1.3812154696131999E-2</v>
      </c>
      <c r="D1284">
        <v>1.9444444444444001E-2</v>
      </c>
      <c r="E1284">
        <v>0.49186991869918711</v>
      </c>
      <c r="F1284">
        <v>-0.283203125</v>
      </c>
      <c r="G1284">
        <v>0.59565217391304304</v>
      </c>
      <c r="H1284">
        <v>-0.13849765258215899</v>
      </c>
      <c r="I1284">
        <v>-0.62741116751268999</v>
      </c>
    </row>
    <row r="1285" spans="1:9" x14ac:dyDescent="0.2">
      <c r="A1285" s="1" t="s">
        <v>1285</v>
      </c>
      <c r="B1285" t="str">
        <f>HYPERLINK("https://www.suredividend.com/sure-analysis-OPI/","Office Properties Income Trust")</f>
        <v>Office Properties Income Trust</v>
      </c>
      <c r="C1285">
        <v>-3.2485875706214001E-2</v>
      </c>
      <c r="D1285">
        <v>-0.35198849661331211</v>
      </c>
      <c r="E1285">
        <v>-0.44240944240944202</v>
      </c>
      <c r="F1285">
        <v>-0.53080906326200705</v>
      </c>
      <c r="G1285">
        <v>-0.75154513536256207</v>
      </c>
      <c r="H1285">
        <v>-0.80313829175767304</v>
      </c>
      <c r="I1285">
        <v>-0.79620494939337505</v>
      </c>
    </row>
    <row r="1286" spans="1:9" x14ac:dyDescent="0.2">
      <c r="A1286" s="1" t="s">
        <v>1286</v>
      </c>
      <c r="B1286" t="str">
        <f>HYPERLINK("https://www.suredividend.com/sure-analysis-research-database/","Opko Health Inc")</f>
        <v>Opko Health Inc</v>
      </c>
      <c r="C1286">
        <v>3.3099297893680997E-2</v>
      </c>
      <c r="D1286">
        <v>-0.304054054054054</v>
      </c>
      <c r="E1286">
        <v>-0.41142857142857098</v>
      </c>
      <c r="F1286">
        <v>-0.31788079470198599</v>
      </c>
      <c r="G1286">
        <v>-0.12711864406779599</v>
      </c>
      <c r="H1286">
        <v>-0.67301587301587307</v>
      </c>
      <c r="I1286">
        <v>-0.62545454545454504</v>
      </c>
    </row>
    <row r="1287" spans="1:9" x14ac:dyDescent="0.2">
      <c r="A1287" s="1" t="s">
        <v>1287</v>
      </c>
      <c r="B1287" t="str">
        <f>HYPERLINK("https://www.suredividend.com/sure-analysis-research-database/","OptimizeRx Corp")</f>
        <v>OptimizeRx Corp</v>
      </c>
      <c r="C1287">
        <v>4.8796791443849998E-2</v>
      </c>
      <c r="D1287">
        <v>0.56586826347305308</v>
      </c>
      <c r="E1287">
        <v>0.81177829099307108</v>
      </c>
      <c r="F1287">
        <v>9.6436058700209007E-2</v>
      </c>
      <c r="G1287">
        <v>-0.13696369636963701</v>
      </c>
      <c r="H1287">
        <v>-0.64308462238398501</v>
      </c>
      <c r="I1287">
        <v>0.20692307692307699</v>
      </c>
    </row>
    <row r="1288" spans="1:9" x14ac:dyDescent="0.2">
      <c r="A1288" s="1" t="s">
        <v>1288</v>
      </c>
      <c r="B1288" t="str">
        <f>HYPERLINK("https://www.suredividend.com/sure-analysis-research-database/","OptiNose Inc")</f>
        <v>OptiNose Inc</v>
      </c>
      <c r="C1288">
        <v>0</v>
      </c>
      <c r="D1288">
        <v>0.14285714285714299</v>
      </c>
      <c r="E1288">
        <v>4.6153846153845997E-2</v>
      </c>
      <c r="F1288">
        <v>5.4263565891472007E-2</v>
      </c>
      <c r="G1288">
        <v>-0.222857142857142</v>
      </c>
      <c r="H1288">
        <v>-0.49629629629629601</v>
      </c>
      <c r="I1288">
        <v>-0.81111111111111112</v>
      </c>
    </row>
    <row r="1289" spans="1:9" x14ac:dyDescent="0.2">
      <c r="A1289" s="1" t="s">
        <v>1289</v>
      </c>
      <c r="B1289" t="str">
        <f>HYPERLINK("https://www.suredividend.com/sure-analysis-research-database/","Ormat Technologies Inc")</f>
        <v>Ormat Technologies Inc</v>
      </c>
      <c r="C1289">
        <v>2.098950524737E-3</v>
      </c>
      <c r="D1289">
        <v>1.4417969342844001E-2</v>
      </c>
      <c r="E1289">
        <v>-0.115550121472918</v>
      </c>
      <c r="F1289">
        <v>-0.118089457712099</v>
      </c>
      <c r="G1289">
        <v>-0.27254126238687798</v>
      </c>
      <c r="H1289">
        <v>3.4130643314664012E-2</v>
      </c>
      <c r="I1289">
        <v>0.19843149630017401</v>
      </c>
    </row>
    <row r="1290" spans="1:9" x14ac:dyDescent="0.2">
      <c r="A1290" s="1" t="s">
        <v>1290</v>
      </c>
      <c r="B1290" t="str">
        <f>HYPERLINK("https://www.suredividend.com/sure-analysis-ORC/","Orchid Island Capital Inc")</f>
        <v>Orchid Island Capital Inc</v>
      </c>
      <c r="C1290">
        <v>-6.3807118144920006E-3</v>
      </c>
      <c r="D1290">
        <v>0.17653729481473099</v>
      </c>
      <c r="E1290">
        <v>-4.1504030302330013E-2</v>
      </c>
      <c r="F1290">
        <v>-1.6718988681600001E-3</v>
      </c>
      <c r="G1290">
        <v>-0.14375612523856099</v>
      </c>
      <c r="H1290">
        <v>-0.34070996798868802</v>
      </c>
      <c r="I1290">
        <v>-0.43335040109233602</v>
      </c>
    </row>
    <row r="1291" spans="1:9" x14ac:dyDescent="0.2">
      <c r="A1291" s="1" t="s">
        <v>1291</v>
      </c>
      <c r="B1291" t="str">
        <f>HYPERLINK("https://www.suredividend.com/sure-analysis-research-database/","Origin Materials Inc")</f>
        <v>Origin Materials Inc</v>
      </c>
      <c r="C1291">
        <v>-9.9013328717327001E-2</v>
      </c>
      <c r="D1291">
        <v>-0.46882334932135911</v>
      </c>
      <c r="E1291">
        <v>-0.62821428571428506</v>
      </c>
      <c r="F1291">
        <v>-0.37754125807223099</v>
      </c>
      <c r="G1291">
        <v>-0.89399185336048803</v>
      </c>
      <c r="H1291">
        <v>-0.90307262569832403</v>
      </c>
      <c r="I1291">
        <v>-0.94795000000000007</v>
      </c>
    </row>
    <row r="1292" spans="1:9" x14ac:dyDescent="0.2">
      <c r="A1292" s="1" t="s">
        <v>1292</v>
      </c>
      <c r="B1292" t="str">
        <f>HYPERLINK("https://www.suredividend.com/sure-analysis-research-database/","Organogenesis Holdings Inc")</f>
        <v>Organogenesis Holdings Inc</v>
      </c>
      <c r="C1292">
        <v>-8.5561497326203009E-2</v>
      </c>
      <c r="D1292">
        <v>0.30534351145038102</v>
      </c>
      <c r="E1292">
        <v>0.29056603773584899</v>
      </c>
      <c r="F1292">
        <v>-0.163814180929095</v>
      </c>
      <c r="G1292">
        <v>0.3359375</v>
      </c>
      <c r="H1292">
        <v>-0.47140649149922698</v>
      </c>
      <c r="I1292">
        <v>-0.55294117647058805</v>
      </c>
    </row>
    <row r="1293" spans="1:9" x14ac:dyDescent="0.2">
      <c r="A1293" s="1" t="s">
        <v>1293</v>
      </c>
      <c r="B1293" t="str">
        <f>HYPERLINK("https://www.suredividend.com/sure-analysis-research-database/","ORIC Pharmaceuticals Inc")</f>
        <v>ORIC Pharmaceuticals Inc</v>
      </c>
      <c r="C1293">
        <v>4.5908183632734002E-2</v>
      </c>
      <c r="D1293">
        <v>0.46778711484593799</v>
      </c>
      <c r="E1293">
        <v>0.23803898405197799</v>
      </c>
      <c r="F1293">
        <v>0.139130434782608</v>
      </c>
      <c r="G1293">
        <v>1.215644820295982</v>
      </c>
      <c r="H1293">
        <v>0.25961538461538403</v>
      </c>
      <c r="I1293">
        <v>-0.59332557237097405</v>
      </c>
    </row>
    <row r="1294" spans="1:9" x14ac:dyDescent="0.2">
      <c r="A1294" s="1" t="s">
        <v>1294</v>
      </c>
      <c r="B1294" t="str">
        <f>HYPERLINK("https://www.suredividend.com/sure-analysis-research-database/","Orrstown Financial Services, Inc.")</f>
        <v>Orrstown Financial Services, Inc.</v>
      </c>
      <c r="C1294">
        <v>-2.3936450486396001E-2</v>
      </c>
      <c r="D1294">
        <v>0.153195545213336</v>
      </c>
      <c r="E1294">
        <v>0.221514295719242</v>
      </c>
      <c r="F1294">
        <v>-7.5880339233798999E-2</v>
      </c>
      <c r="G1294">
        <v>0.22308284268859599</v>
      </c>
      <c r="H1294">
        <v>0.21347928817648301</v>
      </c>
      <c r="I1294">
        <v>0.62779986424900502</v>
      </c>
    </row>
    <row r="1295" spans="1:9" x14ac:dyDescent="0.2">
      <c r="A1295" s="1" t="s">
        <v>1295</v>
      </c>
      <c r="B1295" t="str">
        <f>HYPERLINK("https://www.suredividend.com/sure-analysis-research-database/","Old Second Bancorporation Inc.")</f>
        <v>Old Second Bancorporation Inc.</v>
      </c>
      <c r="C1295">
        <v>-0.102223224172341</v>
      </c>
      <c r="D1295">
        <v>-7.978795704770901E-2</v>
      </c>
      <c r="E1295">
        <v>-7.4118395229726006E-2</v>
      </c>
      <c r="F1295">
        <v>-0.117340286831812</v>
      </c>
      <c r="G1295">
        <v>-0.199612219805164</v>
      </c>
      <c r="H1295">
        <v>-3.4353894320945003E-2</v>
      </c>
      <c r="I1295">
        <v>5.0986100745500007E-4</v>
      </c>
    </row>
    <row r="1296" spans="1:9" x14ac:dyDescent="0.2">
      <c r="A1296" s="1" t="s">
        <v>1296</v>
      </c>
      <c r="B1296" t="str">
        <f>HYPERLINK("https://www.suredividend.com/sure-analysis-research-database/","Oscar Health Inc")</f>
        <v>Oscar Health Inc</v>
      </c>
      <c r="C1296">
        <v>0.63094128611369904</v>
      </c>
      <c r="D1296">
        <v>1.113526570048309</v>
      </c>
      <c r="E1296">
        <v>1.44413407821229</v>
      </c>
      <c r="F1296">
        <v>0.91256830601092809</v>
      </c>
      <c r="G1296">
        <v>2.125</v>
      </c>
      <c r="H1296">
        <v>1.5</v>
      </c>
      <c r="I1296">
        <v>-0.49712643678160912</v>
      </c>
    </row>
    <row r="1297" spans="1:9" x14ac:dyDescent="0.2">
      <c r="A1297" s="1" t="s">
        <v>1297</v>
      </c>
      <c r="B1297" t="str">
        <f>HYPERLINK("https://www.suredividend.com/sure-analysis-research-database/","Overseas Shipholding Group, Inc.")</f>
        <v>Overseas Shipholding Group, Inc.</v>
      </c>
      <c r="C1297">
        <v>5.1813471502589997E-2</v>
      </c>
      <c r="D1297">
        <v>0.25208166286313399</v>
      </c>
      <c r="E1297">
        <v>0.50251653014901809</v>
      </c>
      <c r="F1297">
        <v>0.15559772296015101</v>
      </c>
      <c r="G1297">
        <v>0.62110362818431009</v>
      </c>
      <c r="H1297">
        <v>2.4608171847474001</v>
      </c>
      <c r="I1297">
        <v>2.005033060298036</v>
      </c>
    </row>
    <row r="1298" spans="1:9" x14ac:dyDescent="0.2">
      <c r="A1298" s="1" t="s">
        <v>1298</v>
      </c>
      <c r="B1298" t="str">
        <f>HYPERLINK("https://www.suredividend.com/sure-analysis-research-database/","OSI Systems, Inc.")</f>
        <v>OSI Systems, Inc.</v>
      </c>
      <c r="C1298">
        <v>3.7502929916399003E-2</v>
      </c>
      <c r="D1298">
        <v>0.11597613244810399</v>
      </c>
      <c r="E1298">
        <v>0.13933933933933901</v>
      </c>
      <c r="F1298">
        <v>2.8981015110422E-2</v>
      </c>
      <c r="G1298">
        <v>0.38308509530257201</v>
      </c>
      <c r="H1298">
        <v>0.64466187763190408</v>
      </c>
      <c r="I1298">
        <v>0.49994352196995312</v>
      </c>
    </row>
    <row r="1299" spans="1:9" x14ac:dyDescent="0.2">
      <c r="A1299" s="1" t="s">
        <v>1299</v>
      </c>
      <c r="B1299" t="str">
        <f>HYPERLINK("https://www.suredividend.com/sure-analysis-research-database/","OneSpan Inc")</f>
        <v>OneSpan Inc</v>
      </c>
      <c r="C1299">
        <v>-6.6282420749279009E-2</v>
      </c>
      <c r="D1299">
        <v>-4.2364532019704013E-2</v>
      </c>
      <c r="E1299">
        <v>-0.13523131672597799</v>
      </c>
      <c r="F1299">
        <v>-9.3283582089552008E-2</v>
      </c>
      <c r="G1299">
        <v>-0.300215982721382</v>
      </c>
      <c r="H1299">
        <v>-0.39325842696629199</v>
      </c>
      <c r="I1299">
        <v>-0.49689440993788803</v>
      </c>
    </row>
    <row r="1300" spans="1:9" x14ac:dyDescent="0.2">
      <c r="A1300" s="1" t="s">
        <v>1300</v>
      </c>
      <c r="B1300" t="str">
        <f>HYPERLINK("https://www.suredividend.com/sure-analysis-research-database/","Orasure Technologies Inc.")</f>
        <v>Orasure Technologies Inc.</v>
      </c>
      <c r="C1300">
        <v>-0.123393316195372</v>
      </c>
      <c r="D1300">
        <v>-5.5401662049861002E-2</v>
      </c>
      <c r="E1300">
        <v>2.4024024024024E-2</v>
      </c>
      <c r="F1300">
        <v>-0.168292682926829</v>
      </c>
      <c r="G1300">
        <v>0.14621848739495699</v>
      </c>
      <c r="H1300">
        <v>-0.144291091593475</v>
      </c>
      <c r="I1300">
        <v>-0.41957446808510601</v>
      </c>
    </row>
    <row r="1301" spans="1:9" x14ac:dyDescent="0.2">
      <c r="A1301" s="1" t="s">
        <v>1301</v>
      </c>
      <c r="B1301" t="str">
        <f>HYPERLINK("https://www.suredividend.com/sure-analysis-research-database/","OneSpaWorld Holdings Limited")</f>
        <v>OneSpaWorld Holdings Limited</v>
      </c>
      <c r="C1301">
        <v>3.7805782060785012E-2</v>
      </c>
      <c r="D1301">
        <v>0.224846894138232</v>
      </c>
      <c r="E1301">
        <v>0.24444444444444399</v>
      </c>
      <c r="F1301">
        <v>-7.0921985815600008E-3</v>
      </c>
      <c r="G1301">
        <v>0.28676470588235198</v>
      </c>
      <c r="H1301">
        <v>0.38067061143984199</v>
      </c>
      <c r="I1301">
        <v>0.14464184974122901</v>
      </c>
    </row>
    <row r="1302" spans="1:9" x14ac:dyDescent="0.2">
      <c r="A1302" s="1" t="s">
        <v>1302</v>
      </c>
      <c r="B1302" t="str">
        <f>HYPERLINK("https://www.suredividend.com/sure-analysis-research-database/","Outlook Therapeutics Inc")</f>
        <v>Outlook Therapeutics Inc</v>
      </c>
      <c r="C1302">
        <v>0.243266475644699</v>
      </c>
      <c r="D1302">
        <v>-1.4087707339241E-2</v>
      </c>
      <c r="E1302">
        <v>-0.67375939849624</v>
      </c>
      <c r="F1302">
        <v>0.101269035532994</v>
      </c>
      <c r="G1302">
        <v>-0.60909909909909909</v>
      </c>
      <c r="H1302">
        <v>-0.70280821917808201</v>
      </c>
      <c r="I1302">
        <v>-0.95480208333333305</v>
      </c>
    </row>
    <row r="1303" spans="1:9" x14ac:dyDescent="0.2">
      <c r="A1303" s="1" t="s">
        <v>1303</v>
      </c>
      <c r="B1303" t="str">
        <f>HYPERLINK("https://www.suredividend.com/sure-analysis-OTTR/","Otter Tail Corporation")</f>
        <v>Otter Tail Corporation</v>
      </c>
      <c r="C1303">
        <v>4.6424656954290003E-2</v>
      </c>
      <c r="D1303">
        <v>0.16626864810877801</v>
      </c>
      <c r="E1303">
        <v>9.5484971861868009E-2</v>
      </c>
      <c r="F1303">
        <v>5.8247623759549998E-2</v>
      </c>
      <c r="G1303">
        <v>0.29655912035647303</v>
      </c>
      <c r="H1303">
        <v>0.56889435088715301</v>
      </c>
      <c r="I1303">
        <v>1.092199748879598</v>
      </c>
    </row>
    <row r="1304" spans="1:9" x14ac:dyDescent="0.2">
      <c r="A1304" s="1" t="s">
        <v>1304</v>
      </c>
      <c r="B1304" t="str">
        <f>HYPERLINK("https://www.suredividend.com/sure-analysis-research-database/","Outfront Media Inc")</f>
        <v>Outfront Media Inc</v>
      </c>
      <c r="C1304">
        <v>-7.3770491803278007E-2</v>
      </c>
      <c r="D1304">
        <v>2.6555722758199999E-4</v>
      </c>
      <c r="E1304">
        <v>0.179932602401632</v>
      </c>
      <c r="F1304">
        <v>-0.109598853868194</v>
      </c>
      <c r="G1304">
        <v>-0.29221378218633598</v>
      </c>
      <c r="H1304">
        <v>-0.42388090139696111</v>
      </c>
      <c r="I1304">
        <v>-0.27099767164984401</v>
      </c>
    </row>
    <row r="1305" spans="1:9" x14ac:dyDescent="0.2">
      <c r="A1305" s="1" t="s">
        <v>1305</v>
      </c>
      <c r="B1305" t="str">
        <f>HYPERLINK("https://www.suredividend.com/sure-analysis-research-database/","Ovid Therapeutics Inc")</f>
        <v>Ovid Therapeutics Inc</v>
      </c>
      <c r="C1305">
        <v>0.184713375796178</v>
      </c>
      <c r="D1305">
        <v>0.12727272727272701</v>
      </c>
      <c r="E1305">
        <v>-4.1237113402061001E-2</v>
      </c>
      <c r="F1305">
        <v>0.15527950310558999</v>
      </c>
      <c r="G1305">
        <v>0.48207171314740999</v>
      </c>
      <c r="H1305">
        <v>0.15527950310558999</v>
      </c>
      <c r="I1305">
        <v>1.01081081081081</v>
      </c>
    </row>
    <row r="1306" spans="1:9" x14ac:dyDescent="0.2">
      <c r="A1306" s="1" t="s">
        <v>1306</v>
      </c>
      <c r="B1306" t="str">
        <f>HYPERLINK("https://www.suredividend.com/sure-analysis-research-database/","Oak Valley Bancorp")</f>
        <v>Oak Valley Bancorp</v>
      </c>
      <c r="C1306">
        <v>-2.448134593759E-2</v>
      </c>
      <c r="D1306">
        <v>-5.2628329307163997E-2</v>
      </c>
      <c r="E1306">
        <v>-3.7277554253625E-2</v>
      </c>
      <c r="F1306">
        <v>-0.166819388163744</v>
      </c>
      <c r="G1306">
        <v>-8.2054254145712005E-2</v>
      </c>
      <c r="H1306">
        <v>0.34850099421050801</v>
      </c>
      <c r="I1306">
        <v>0.513983534272763</v>
      </c>
    </row>
    <row r="1307" spans="1:9" x14ac:dyDescent="0.2">
      <c r="A1307" s="1" t="s">
        <v>1307</v>
      </c>
      <c r="B1307" t="str">
        <f>HYPERLINK("https://www.suredividend.com/sure-analysis-research-database/","Oxford Industries, Inc.")</f>
        <v>Oxford Industries, Inc.</v>
      </c>
      <c r="C1307">
        <v>2.9454319966927999E-2</v>
      </c>
      <c r="D1307">
        <v>5.1789076218543013E-2</v>
      </c>
      <c r="E1307">
        <v>-9.6726183078830012E-3</v>
      </c>
      <c r="F1307">
        <v>2.8814845988570001E-3</v>
      </c>
      <c r="G1307">
        <v>-0.13694135342775701</v>
      </c>
      <c r="H1307">
        <v>0.22751930437697299</v>
      </c>
      <c r="I1307">
        <v>0.38695502038452101</v>
      </c>
    </row>
    <row r="1308" spans="1:9" x14ac:dyDescent="0.2">
      <c r="A1308" s="1" t="s">
        <v>1308</v>
      </c>
      <c r="B1308" t="str">
        <f>HYPERLINK("https://www.suredividend.com/sure-analysis-research-database/","Pacific Biosciences of California Inc")</f>
        <v>Pacific Biosciences of California Inc</v>
      </c>
      <c r="C1308">
        <v>-0.19726858877086401</v>
      </c>
      <c r="D1308">
        <v>-0.38344988344988301</v>
      </c>
      <c r="E1308">
        <v>-0.48938223938223901</v>
      </c>
      <c r="F1308">
        <v>-0.46075433231396501</v>
      </c>
      <c r="G1308">
        <v>-0.49377990430621999</v>
      </c>
      <c r="H1308">
        <v>-0.53879686137750604</v>
      </c>
      <c r="I1308">
        <v>-0.27235213204951803</v>
      </c>
    </row>
    <row r="1309" spans="1:9" x14ac:dyDescent="0.2">
      <c r="A1309" s="1" t="s">
        <v>1309</v>
      </c>
      <c r="B1309" t="str">
        <f>HYPERLINK("https://www.suredividend.com/sure-analysis-research-database/","Ranpak Holdings Corp")</f>
        <v>Ranpak Holdings Corp</v>
      </c>
      <c r="C1309">
        <v>3.6876355748373002E-2</v>
      </c>
      <c r="D1309">
        <v>0.238341968911917</v>
      </c>
      <c r="E1309">
        <v>-9.8113207547169012E-2</v>
      </c>
      <c r="F1309">
        <v>-0.17869415807560099</v>
      </c>
      <c r="G1309">
        <v>-0.35054347826086901</v>
      </c>
      <c r="H1309">
        <v>-0.81720841300191205</v>
      </c>
      <c r="I1309">
        <v>-0.52766798418972305</v>
      </c>
    </row>
    <row r="1310" spans="1:9" x14ac:dyDescent="0.2">
      <c r="A1310" s="1" t="s">
        <v>1310</v>
      </c>
      <c r="B1310" t="str">
        <f>HYPERLINK("https://www.suredividend.com/sure-analysis-research-database/","PagSeguro Digital Ltd")</f>
        <v>PagSeguro Digital Ltd</v>
      </c>
      <c r="C1310">
        <v>1.6666666666666E-2</v>
      </c>
      <c r="D1310">
        <v>0.37593984962406002</v>
      </c>
      <c r="E1310">
        <v>0.44256756756756699</v>
      </c>
      <c r="F1310">
        <v>2.7265437048916999E-2</v>
      </c>
      <c r="G1310">
        <v>0.39087947882736102</v>
      </c>
      <c r="H1310">
        <v>-0.18563254926891201</v>
      </c>
      <c r="I1310">
        <v>-0.45651251591005498</v>
      </c>
    </row>
    <row r="1311" spans="1:9" x14ac:dyDescent="0.2">
      <c r="A1311" s="1" t="s">
        <v>1311</v>
      </c>
      <c r="B1311" t="str">
        <f>HYPERLINK("https://www.suredividend.com/sure-analysis-research-database/","Phibro Animal Health Corp.")</f>
        <v>Phibro Animal Health Corp.</v>
      </c>
      <c r="C1311">
        <v>0.103884372177055</v>
      </c>
      <c r="D1311">
        <v>0.194677720531445</v>
      </c>
      <c r="E1311">
        <v>-0.16049518418268499</v>
      </c>
      <c r="F1311">
        <v>5.5267702936096001E-2</v>
      </c>
      <c r="G1311">
        <v>-0.20999211285088101</v>
      </c>
      <c r="H1311">
        <v>-0.37843652880707601</v>
      </c>
      <c r="I1311">
        <v>-0.53055430702977602</v>
      </c>
    </row>
    <row r="1312" spans="1:9" x14ac:dyDescent="0.2">
      <c r="A1312" s="1" t="s">
        <v>1312</v>
      </c>
      <c r="B1312" t="str">
        <f>HYPERLINK("https://www.suredividend.com/sure-analysis-research-database/","Pangaea Logistics Solutions Ltd")</f>
        <v>Pangaea Logistics Solutions Ltd</v>
      </c>
      <c r="C1312">
        <v>-3.5087719298245001E-2</v>
      </c>
      <c r="D1312">
        <v>0.20204566316494901</v>
      </c>
      <c r="E1312">
        <v>0.47229410190059712</v>
      </c>
      <c r="F1312">
        <v>1.213592233009E-3</v>
      </c>
      <c r="G1312">
        <v>0.50172015217430799</v>
      </c>
      <c r="H1312">
        <v>1.0320197044334971</v>
      </c>
      <c r="I1312">
        <v>2.0887308124298012</v>
      </c>
    </row>
    <row r="1313" spans="1:9" x14ac:dyDescent="0.2">
      <c r="A1313" s="1" t="s">
        <v>1313</v>
      </c>
      <c r="B1313" t="str">
        <f>HYPERLINK("https://www.suredividend.com/sure-analysis-research-database/","Par Technology Corp.")</f>
        <v>Par Technology Corp.</v>
      </c>
      <c r="C1313">
        <v>4.9518261259241997E-2</v>
      </c>
      <c r="D1313">
        <v>0.22489539748953899</v>
      </c>
      <c r="E1313">
        <v>0.24906666666666599</v>
      </c>
      <c r="F1313">
        <v>7.5792374827744008E-2</v>
      </c>
      <c r="G1313">
        <v>0.27594660855352698</v>
      </c>
      <c r="H1313">
        <v>0.13003618817852799</v>
      </c>
      <c r="I1313">
        <v>0.69587255611875409</v>
      </c>
    </row>
    <row r="1314" spans="1:9" x14ac:dyDescent="0.2">
      <c r="A1314" s="1" t="s">
        <v>1314</v>
      </c>
      <c r="B1314" t="str">
        <f>HYPERLINK("https://www.suredividend.com/sure-analysis-research-database/","Par Pacific Holdings Inc")</f>
        <v>Par Pacific Holdings Inc</v>
      </c>
      <c r="C1314">
        <v>0.12889812889812799</v>
      </c>
      <c r="D1314">
        <v>0.11140350877192901</v>
      </c>
      <c r="E1314">
        <v>8.3523375142531012E-2</v>
      </c>
      <c r="F1314">
        <v>4.5092108880945003E-2</v>
      </c>
      <c r="G1314">
        <v>0.42199775533108802</v>
      </c>
      <c r="H1314">
        <v>1.549295774647887</v>
      </c>
      <c r="I1314">
        <v>1.209883720930232</v>
      </c>
    </row>
    <row r="1315" spans="1:9" x14ac:dyDescent="0.2">
      <c r="A1315" s="1" t="s">
        <v>1315</v>
      </c>
      <c r="B1315" t="str">
        <f>HYPERLINK("https://www.suredividend.com/sure-analysis-research-database/","Patrick Industries, Inc.")</f>
        <v>Patrick Industries, Inc.</v>
      </c>
      <c r="C1315">
        <v>0.14551105874175699</v>
      </c>
      <c r="D1315">
        <v>0.33469906076289002</v>
      </c>
      <c r="E1315">
        <v>0.43483423614169803</v>
      </c>
      <c r="F1315">
        <v>0.121311152018631</v>
      </c>
      <c r="G1315">
        <v>0.56557395478511108</v>
      </c>
      <c r="H1315">
        <v>0.72702977541327107</v>
      </c>
      <c r="I1315">
        <v>1.649666562021366</v>
      </c>
    </row>
    <row r="1316" spans="1:9" x14ac:dyDescent="0.2">
      <c r="A1316" s="1" t="s">
        <v>1316</v>
      </c>
      <c r="B1316" t="str">
        <f>HYPERLINK("https://www.suredividend.com/sure-analysis-research-database/","Patria Investments Ltd")</f>
        <v>Patria Investments Ltd</v>
      </c>
      <c r="C1316">
        <v>9.5586771374847002E-2</v>
      </c>
      <c r="D1316">
        <v>9.7821027198368007E-2</v>
      </c>
      <c r="E1316">
        <v>0.10239877723943901</v>
      </c>
      <c r="F1316">
        <v>8.7035628937640001E-3</v>
      </c>
      <c r="G1316">
        <v>3.8767277481419997E-2</v>
      </c>
      <c r="H1316">
        <v>5.6802663024922012E-2</v>
      </c>
      <c r="I1316">
        <v>0.51455657492354701</v>
      </c>
    </row>
    <row r="1317" spans="1:9" x14ac:dyDescent="0.2">
      <c r="A1317" s="1" t="s">
        <v>1317</v>
      </c>
      <c r="B1317" t="str">
        <f>HYPERLINK("https://www.suredividend.com/sure-analysis-research-database/","Payoneer Global Inc")</f>
        <v>Payoneer Global Inc</v>
      </c>
      <c r="C1317">
        <v>0.125</v>
      </c>
      <c r="D1317">
        <v>-7.3529411764700009E-3</v>
      </c>
      <c r="E1317">
        <v>-7.3756432246998002E-2</v>
      </c>
      <c r="F1317">
        <v>3.6468330134356998E-2</v>
      </c>
      <c r="G1317">
        <v>-4.7619047619047013E-2</v>
      </c>
      <c r="H1317">
        <v>0.244239631336405</v>
      </c>
      <c r="I1317">
        <v>-0.49056603773584911</v>
      </c>
    </row>
    <row r="1318" spans="1:9" x14ac:dyDescent="0.2">
      <c r="A1318" s="1" t="s">
        <v>1318</v>
      </c>
      <c r="B1318" t="str">
        <f>HYPERLINK("https://www.suredividend.com/sure-analysis-research-database/","PaySign Inc")</f>
        <v>PaySign Inc</v>
      </c>
      <c r="C1318">
        <v>0.20799999999999999</v>
      </c>
      <c r="D1318">
        <v>0.242798353909464</v>
      </c>
      <c r="E1318">
        <v>0.50248756218905499</v>
      </c>
      <c r="F1318">
        <v>7.8571428571428001E-2</v>
      </c>
      <c r="G1318">
        <v>-0.12463768115942001</v>
      </c>
      <c r="H1318">
        <v>0.35426008968609801</v>
      </c>
      <c r="I1318">
        <v>-0.58855585831062607</v>
      </c>
    </row>
    <row r="1319" spans="1:9" x14ac:dyDescent="0.2">
      <c r="A1319" s="1" t="s">
        <v>1319</v>
      </c>
      <c r="B1319" t="str">
        <f>HYPERLINK("https://www.suredividend.com/sure-analysis-research-database/","PBF Energy Inc")</f>
        <v>PBF Energy Inc</v>
      </c>
      <c r="C1319">
        <v>8.6844569288389004E-2</v>
      </c>
      <c r="D1319">
        <v>2.2912535800836999E-2</v>
      </c>
      <c r="E1319">
        <v>-3.5272899542050012E-2</v>
      </c>
      <c r="F1319">
        <v>5.6187443130118003E-2</v>
      </c>
      <c r="G1319">
        <v>0.13202486895038401</v>
      </c>
      <c r="H1319">
        <v>1.652885148299879</v>
      </c>
      <c r="I1319">
        <v>0.40857889164287697</v>
      </c>
    </row>
    <row r="1320" spans="1:9" x14ac:dyDescent="0.2">
      <c r="A1320" s="1" t="s">
        <v>1320</v>
      </c>
      <c r="B1320" t="str">
        <f>HYPERLINK("https://www.suredividend.com/sure-analysis-research-database/","Pioneer Bancorp Inc")</f>
        <v>Pioneer Bancorp Inc</v>
      </c>
      <c r="C1320">
        <v>-7.8606965174129004E-2</v>
      </c>
      <c r="D1320">
        <v>0.103694874851012</v>
      </c>
      <c r="E1320">
        <v>-2.1551724137930002E-3</v>
      </c>
      <c r="F1320">
        <v>-7.4925074925074012E-2</v>
      </c>
      <c r="G1320">
        <v>-0.215254237288135</v>
      </c>
      <c r="H1320">
        <v>-0.15045871559633001</v>
      </c>
      <c r="I1320">
        <v>-0.37220338983050799</v>
      </c>
    </row>
    <row r="1321" spans="1:9" x14ac:dyDescent="0.2">
      <c r="A1321" s="1" t="s">
        <v>1321</v>
      </c>
      <c r="B1321" t="str">
        <f>HYPERLINK("https://www.suredividend.com/sure-analysis-research-database/","Prestige Consumer Healthcare Inc")</f>
        <v>Prestige Consumer Healthcare Inc</v>
      </c>
      <c r="C1321">
        <v>0.15504787502099701</v>
      </c>
      <c r="D1321">
        <v>0.16839422259983</v>
      </c>
      <c r="E1321">
        <v>0.16050632911392401</v>
      </c>
      <c r="F1321">
        <v>0.12316236524011701</v>
      </c>
      <c r="G1321">
        <v>0.118594436310395</v>
      </c>
      <c r="H1321">
        <v>0.15816068721576501</v>
      </c>
      <c r="I1321">
        <v>1.3669535283993111</v>
      </c>
    </row>
    <row r="1322" spans="1:9" x14ac:dyDescent="0.2">
      <c r="A1322" s="1" t="s">
        <v>1322</v>
      </c>
      <c r="B1322" t="str">
        <f>HYPERLINK("https://www.suredividend.com/sure-analysis-research-database/","Pitney Bowes, Inc.")</f>
        <v>Pitney Bowes, Inc.</v>
      </c>
      <c r="C1322">
        <v>-4.5149407459467002E-2</v>
      </c>
      <c r="D1322">
        <v>2.8507432294840001E-3</v>
      </c>
      <c r="E1322">
        <v>0.145282251031916</v>
      </c>
      <c r="F1322">
        <v>-9.2876548326196004E-2</v>
      </c>
      <c r="G1322">
        <v>-2.4776614440235999E-2</v>
      </c>
      <c r="H1322">
        <v>-7.6504781548846004E-2</v>
      </c>
      <c r="I1322">
        <v>-0.30119541697704899</v>
      </c>
    </row>
    <row r="1323" spans="1:9" x14ac:dyDescent="0.2">
      <c r="A1323" s="1" t="s">
        <v>1323</v>
      </c>
      <c r="B1323" t="str">
        <f>HYPERLINK("https://www.suredividend.com/sure-analysis-research-database/","Potbelly Corp")</f>
        <v>Potbelly Corp</v>
      </c>
      <c r="C1323">
        <v>-5.4587688734030013E-2</v>
      </c>
      <c r="D1323">
        <v>0.28391167192429001</v>
      </c>
      <c r="E1323">
        <v>0.50554870530209606</v>
      </c>
      <c r="F1323">
        <v>0.171785028790786</v>
      </c>
      <c r="G1323">
        <v>0.606578947368421</v>
      </c>
      <c r="H1323">
        <v>1.203971119133574</v>
      </c>
      <c r="I1323">
        <v>0.39383561643835602</v>
      </c>
    </row>
    <row r="1324" spans="1:9" x14ac:dyDescent="0.2">
      <c r="A1324" s="1" t="s">
        <v>1324</v>
      </c>
      <c r="B1324" t="str">
        <f>HYPERLINK("https://www.suredividend.com/sure-analysis-research-database/","PCB Bancorp.")</f>
        <v>PCB Bancorp.</v>
      </c>
      <c r="C1324">
        <v>-8.115947013338301E-2</v>
      </c>
      <c r="D1324">
        <v>3.1670946524305001E-2</v>
      </c>
      <c r="E1324">
        <v>2.3013006241464001E-2</v>
      </c>
      <c r="F1324">
        <v>-0.11107414185105</v>
      </c>
      <c r="G1324">
        <v>-7.0810823343921012E-2</v>
      </c>
      <c r="H1324">
        <v>-0.264648540536077</v>
      </c>
      <c r="I1324">
        <v>0.14983753075438799</v>
      </c>
    </row>
    <row r="1325" spans="1:9" x14ac:dyDescent="0.2">
      <c r="A1325" s="1" t="s">
        <v>1325</v>
      </c>
      <c r="B1325" t="str">
        <f>HYPERLINK("https://www.suredividend.com/sure-analysis-research-database/","PotlatchDeltic Corp")</f>
        <v>PotlatchDeltic Corp</v>
      </c>
      <c r="C1325">
        <v>-6.6595744680850999E-2</v>
      </c>
      <c r="D1325">
        <v>-5.4866028821523007E-2</v>
      </c>
      <c r="E1325">
        <v>-1.8537493344309999E-2</v>
      </c>
      <c r="F1325">
        <v>-0.106517311608961</v>
      </c>
      <c r="G1325">
        <v>-1.4744028836760001E-2</v>
      </c>
      <c r="H1325">
        <v>-7.9241481357106E-2</v>
      </c>
      <c r="I1325">
        <v>0.60659483926727209</v>
      </c>
    </row>
    <row r="1326" spans="1:9" x14ac:dyDescent="0.2">
      <c r="A1326" s="1" t="s">
        <v>1326</v>
      </c>
      <c r="B1326" t="str">
        <f>HYPERLINK("https://www.suredividend.com/sure-analysis-research-database/","Pacira BioSciences Inc")</f>
        <v>Pacira BioSciences Inc</v>
      </c>
      <c r="C1326">
        <v>-6.2185929648241003E-2</v>
      </c>
      <c r="D1326">
        <v>7.9147090711962007E-2</v>
      </c>
      <c r="E1326">
        <v>-0.20837751855779399</v>
      </c>
      <c r="F1326">
        <v>-0.114997036158861</v>
      </c>
      <c r="G1326">
        <v>-0.28735083532219502</v>
      </c>
      <c r="H1326">
        <v>-0.53299968720675606</v>
      </c>
      <c r="I1326">
        <v>-0.258136645962732</v>
      </c>
    </row>
    <row r="1327" spans="1:9" x14ac:dyDescent="0.2">
      <c r="A1327" s="1" t="s">
        <v>1327</v>
      </c>
      <c r="B1327" t="str">
        <f>HYPERLINK("https://www.suredividend.com/sure-analysis-research-database/","PureCycle Technologies Inc")</f>
        <v>PureCycle Technologies Inc</v>
      </c>
      <c r="C1327">
        <v>0.85804416403785411</v>
      </c>
      <c r="D1327">
        <v>0.39904988123515411</v>
      </c>
      <c r="E1327">
        <v>-0.38645833333333302</v>
      </c>
      <c r="F1327">
        <v>0.45432098765432111</v>
      </c>
      <c r="G1327">
        <v>-0.168079096045197</v>
      </c>
      <c r="H1327">
        <v>-2.4834437086091999E-2</v>
      </c>
      <c r="I1327">
        <v>-0.42254901960784302</v>
      </c>
    </row>
    <row r="1328" spans="1:9" x14ac:dyDescent="0.2">
      <c r="A1328" s="1" t="s">
        <v>1328</v>
      </c>
      <c r="B1328" t="str">
        <f>HYPERLINK("https://www.suredividend.com/sure-analysis-research-database/","Vaxcyte Inc")</f>
        <v>Vaxcyte Inc</v>
      </c>
      <c r="C1328">
        <v>0.22337790985636399</v>
      </c>
      <c r="D1328">
        <v>0.44135382221357711</v>
      </c>
      <c r="E1328">
        <v>0.48735447611401012</v>
      </c>
      <c r="F1328">
        <v>0.17993630573248401</v>
      </c>
      <c r="G1328">
        <v>0.6757123473541381</v>
      </c>
      <c r="H1328">
        <v>2.6359175662414129</v>
      </c>
      <c r="I1328">
        <v>1.8336520076481839</v>
      </c>
    </row>
    <row r="1329" spans="1:9" x14ac:dyDescent="0.2">
      <c r="A1329" s="1" t="s">
        <v>1329</v>
      </c>
      <c r="B1329" t="str">
        <f>HYPERLINK("https://www.suredividend.com/sure-analysis-research-database/","Pure Cycle Corp.")</f>
        <v>Pure Cycle Corp.</v>
      </c>
      <c r="C1329">
        <v>-1.1787819253437999E-2</v>
      </c>
      <c r="D1329">
        <v>1.99203187251E-3</v>
      </c>
      <c r="E1329">
        <v>-0.148900169204737</v>
      </c>
      <c r="F1329">
        <v>-3.9159503342883997E-2</v>
      </c>
      <c r="G1329">
        <v>0.13544018058690699</v>
      </c>
      <c r="H1329">
        <v>-0.154621848739495</v>
      </c>
      <c r="I1329">
        <v>-3.9603960396030003E-3</v>
      </c>
    </row>
    <row r="1330" spans="1:9" x14ac:dyDescent="0.2">
      <c r="A1330" s="1" t="s">
        <v>1330</v>
      </c>
      <c r="B1330" t="str">
        <f>HYPERLINK("https://www.suredividend.com/sure-analysis-research-database/","Pagerduty Inc")</f>
        <v>Pagerduty Inc</v>
      </c>
      <c r="C1330">
        <v>-8.430007733952001E-2</v>
      </c>
      <c r="D1330">
        <v>6.8592057761732009E-2</v>
      </c>
      <c r="E1330">
        <v>0</v>
      </c>
      <c r="F1330">
        <v>2.2894168466522001E-2</v>
      </c>
      <c r="G1330">
        <v>-0.223351918661856</v>
      </c>
      <c r="H1330">
        <v>-0.254173228346456</v>
      </c>
      <c r="I1330">
        <v>-0.38091503267973797</v>
      </c>
    </row>
    <row r="1331" spans="1:9" x14ac:dyDescent="0.2">
      <c r="A1331" s="1" t="s">
        <v>1331</v>
      </c>
      <c r="B1331" t="str">
        <f>HYPERLINK("https://www.suredividend.com/sure-analysis-PDCO/","Patterson Companies Inc.")</f>
        <v>Patterson Companies Inc.</v>
      </c>
      <c r="C1331">
        <v>-5.8355437665782002E-2</v>
      </c>
      <c r="D1331">
        <v>-0.105506176416859</v>
      </c>
      <c r="E1331">
        <v>-0.147738355675192</v>
      </c>
      <c r="F1331">
        <v>7.0529163756020002E-3</v>
      </c>
      <c r="G1331">
        <v>3.7560417800737003E-2</v>
      </c>
      <c r="H1331">
        <v>4.3009449518708998E-2</v>
      </c>
      <c r="I1331">
        <v>0.54765018746185301</v>
      </c>
    </row>
    <row r="1332" spans="1:9" x14ac:dyDescent="0.2">
      <c r="A1332" s="1" t="s">
        <v>1332</v>
      </c>
      <c r="B1332" t="str">
        <f>HYPERLINK("https://www.suredividend.com/sure-analysis-research-database/","PDF Solutions Inc.")</f>
        <v>PDF Solutions Inc.</v>
      </c>
      <c r="C1332">
        <v>0.117498420720151</v>
      </c>
      <c r="D1332">
        <v>0.137986490833065</v>
      </c>
      <c r="E1332">
        <v>4.4273907910271013E-2</v>
      </c>
      <c r="F1332">
        <v>0.100808960796515</v>
      </c>
      <c r="G1332">
        <v>-5.3504547886569997E-2</v>
      </c>
      <c r="H1332">
        <v>0.36391673091750198</v>
      </c>
      <c r="I1332">
        <v>1.848631239935588</v>
      </c>
    </row>
    <row r="1333" spans="1:9" x14ac:dyDescent="0.2">
      <c r="A1333" s="1" t="s">
        <v>1333</v>
      </c>
      <c r="B1333" t="str">
        <f>HYPERLINK("https://www.suredividend.com/sure-analysis-research-database/","Ponce Financial Group Inc")</f>
        <v>Ponce Financial Group Inc</v>
      </c>
      <c r="C1333">
        <v>-4.2622950819671997E-2</v>
      </c>
      <c r="D1333">
        <v>-5.8064516129031997E-2</v>
      </c>
      <c r="E1333">
        <v>5.0359712230215001E-2</v>
      </c>
      <c r="F1333">
        <v>-0.102459016393442</v>
      </c>
      <c r="G1333">
        <v>-5.0920910075839002E-2</v>
      </c>
      <c r="H1333">
        <v>-0.17669172932330801</v>
      </c>
      <c r="I1333">
        <v>-0.18813716404077799</v>
      </c>
    </row>
    <row r="1334" spans="1:9" x14ac:dyDescent="0.2">
      <c r="A1334" s="1" t="s">
        <v>1334</v>
      </c>
      <c r="B1334" t="str">
        <f>HYPERLINK("https://www.suredividend.com/sure-analysis-research-database/","PDL Biopharma Inc")</f>
        <v>PDL Biopharma Inc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">
      <c r="A1335" s="1" t="s">
        <v>1335</v>
      </c>
      <c r="B1335" t="str">
        <f>HYPERLINK("https://www.suredividend.com/sure-analysis-PDM/","Piedmont Office Realty Trust Inc")</f>
        <v>Piedmont Office Realty Trust Inc</v>
      </c>
      <c r="C1335">
        <v>-8.2633053221288E-2</v>
      </c>
      <c r="D1335">
        <v>8.0180744747518004E-2</v>
      </c>
      <c r="E1335">
        <v>4.8587208836947997E-2</v>
      </c>
      <c r="F1335">
        <v>-7.8762306610407007E-2</v>
      </c>
      <c r="G1335">
        <v>-0.28287550499797398</v>
      </c>
      <c r="H1335">
        <v>-0.54858407018656208</v>
      </c>
      <c r="I1335">
        <v>-0.57641367892803508</v>
      </c>
    </row>
    <row r="1336" spans="1:9" x14ac:dyDescent="0.2">
      <c r="A1336" s="1" t="s">
        <v>1336</v>
      </c>
      <c r="B1336" t="str">
        <f>HYPERLINK("https://www.suredividend.com/sure-analysis-research-database/","PDS Biotechnology Corporation")</f>
        <v>PDS Biotechnology Corporation</v>
      </c>
      <c r="C1336">
        <v>0.23111111111111099</v>
      </c>
      <c r="D1336">
        <v>-0.122028526148969</v>
      </c>
      <c r="E1336">
        <v>-2.4647887323943001E-2</v>
      </c>
      <c r="F1336">
        <v>0.114688128772635</v>
      </c>
      <c r="G1336">
        <v>-0.37116912599318902</v>
      </c>
      <c r="H1336">
        <v>-0.106451612903225</v>
      </c>
      <c r="I1336">
        <v>13.205128205128201</v>
      </c>
    </row>
    <row r="1337" spans="1:9" x14ac:dyDescent="0.2">
      <c r="A1337" s="1" t="s">
        <v>1337</v>
      </c>
      <c r="B1337" t="str">
        <f>HYPERLINK("https://www.suredividend.com/sure-analysis-research-database/","Pebblebrook Hotel Trust")</f>
        <v>Pebblebrook Hotel Trust</v>
      </c>
      <c r="C1337">
        <v>1.5566625155666E-2</v>
      </c>
      <c r="D1337">
        <v>0.285041206410236</v>
      </c>
      <c r="E1337">
        <v>0.118640347869027</v>
      </c>
      <c r="F1337">
        <v>2.0650813516895E-2</v>
      </c>
      <c r="G1337">
        <v>8.7521837118433005E-2</v>
      </c>
      <c r="H1337">
        <v>-0.31255110556618598</v>
      </c>
      <c r="I1337">
        <v>-0.48077498551518211</v>
      </c>
    </row>
    <row r="1338" spans="1:9" x14ac:dyDescent="0.2">
      <c r="A1338" s="1" t="s">
        <v>1338</v>
      </c>
      <c r="B1338" t="str">
        <f>HYPERLINK("https://www.suredividend.com/sure-analysis-research-database/","Peoples Bancorp, Inc. (Marietta, OH)")</f>
        <v>Peoples Bancorp, Inc. (Marietta, OH)</v>
      </c>
      <c r="C1338">
        <v>-6.3814582013675E-2</v>
      </c>
      <c r="D1338">
        <v>-5.3254090694160004E-3</v>
      </c>
      <c r="E1338">
        <v>0.14543257766048701</v>
      </c>
      <c r="F1338">
        <v>-0.12288176860147999</v>
      </c>
      <c r="G1338">
        <v>4.7044334080530013E-2</v>
      </c>
      <c r="H1338">
        <v>5.4098438602971997E-2</v>
      </c>
      <c r="I1338">
        <v>0.15190151681688199</v>
      </c>
    </row>
    <row r="1339" spans="1:9" x14ac:dyDescent="0.2">
      <c r="A1339" s="1" t="s">
        <v>1339</v>
      </c>
      <c r="B1339" t="str">
        <f>HYPERLINK("https://www.suredividend.com/sure-analysis-PECO/","Phillips Edison &amp; Company Inc")</f>
        <v>Phillips Edison &amp; Company Inc</v>
      </c>
      <c r="C1339">
        <v>-2.4490670757845001E-2</v>
      </c>
      <c r="D1339">
        <v>-6.8449885725440007E-3</v>
      </c>
      <c r="E1339">
        <v>3.8738738738739002E-2</v>
      </c>
      <c r="F1339">
        <v>-4.3796286313763998E-2</v>
      </c>
      <c r="G1339">
        <v>6.2809947827369011E-2</v>
      </c>
      <c r="H1339">
        <v>0.14776618619096901</v>
      </c>
      <c r="I1339">
        <v>0.37069354953755401</v>
      </c>
    </row>
    <row r="1340" spans="1:9" x14ac:dyDescent="0.2">
      <c r="A1340" s="1" t="s">
        <v>1340</v>
      </c>
      <c r="B1340" t="str">
        <f>HYPERLINK("https://www.suredividend.com/sure-analysis-research-database/","PepGen Inc")</f>
        <v>PepGen Inc</v>
      </c>
      <c r="C1340">
        <v>1.047548291233283</v>
      </c>
      <c r="D1340">
        <v>1.957081545064377</v>
      </c>
      <c r="E1340">
        <v>0.93267882187938211</v>
      </c>
      <c r="F1340">
        <v>1.026470588235294</v>
      </c>
      <c r="G1340">
        <v>-0.18988830099941201</v>
      </c>
      <c r="H1340">
        <v>6.9045771916213999E-2</v>
      </c>
      <c r="I1340">
        <v>6.9045771916213999E-2</v>
      </c>
    </row>
    <row r="1341" spans="1:9" x14ac:dyDescent="0.2">
      <c r="A1341" s="1" t="s">
        <v>1341</v>
      </c>
      <c r="B1341" t="str">
        <f>HYPERLINK("https://www.suredividend.com/sure-analysis-research-database/","PetIQ Inc")</f>
        <v>PetIQ Inc</v>
      </c>
      <c r="C1341">
        <v>2.9281767955801001E-2</v>
      </c>
      <c r="D1341">
        <v>2.6446280991734999E-2</v>
      </c>
      <c r="E1341">
        <v>-6.3348416289592008E-2</v>
      </c>
      <c r="F1341">
        <v>-5.6708860759493003E-2</v>
      </c>
      <c r="G1341">
        <v>0.83185840707964609</v>
      </c>
      <c r="H1341">
        <v>2.9281767955801001E-2</v>
      </c>
      <c r="I1341">
        <v>-0.39493341994153902</v>
      </c>
    </row>
    <row r="1342" spans="1:9" x14ac:dyDescent="0.2">
      <c r="A1342" s="1" t="s">
        <v>1342</v>
      </c>
      <c r="B1342" t="str">
        <f>HYPERLINK("https://www.suredividend.com/sure-analysis-PETS/","Petmed Express, Inc.")</f>
        <v>Petmed Express, Inc.</v>
      </c>
      <c r="C1342">
        <v>-0.229970326409495</v>
      </c>
      <c r="D1342">
        <v>-0.32772020725388501</v>
      </c>
      <c r="E1342">
        <v>-0.56423173803526405</v>
      </c>
      <c r="F1342">
        <v>-0.31349206349206299</v>
      </c>
      <c r="G1342">
        <v>-0.73365083112231011</v>
      </c>
      <c r="H1342">
        <v>-0.78287607620673205</v>
      </c>
      <c r="I1342">
        <v>-0.72407706702960206</v>
      </c>
    </row>
    <row r="1343" spans="1:9" x14ac:dyDescent="0.2">
      <c r="A1343" s="1" t="s">
        <v>1343</v>
      </c>
      <c r="B1343" t="str">
        <f>HYPERLINK("https://www.suredividend.com/sure-analysis-research-database/","Preferred Bank (Los Angeles, CA)")</f>
        <v>Preferred Bank (Los Angeles, CA)</v>
      </c>
      <c r="C1343">
        <v>-5.1424600416949996E-3</v>
      </c>
      <c r="D1343">
        <v>0.123059592133875</v>
      </c>
      <c r="E1343">
        <v>0.17055844370346501</v>
      </c>
      <c r="F1343">
        <v>-1.006251038001E-3</v>
      </c>
      <c r="G1343">
        <v>6.3145621839191007E-2</v>
      </c>
      <c r="H1343">
        <v>-4.270591344749E-3</v>
      </c>
      <c r="I1343">
        <v>0.65681788196734903</v>
      </c>
    </row>
    <row r="1344" spans="1:9" x14ac:dyDescent="0.2">
      <c r="A1344" s="1" t="s">
        <v>1344</v>
      </c>
      <c r="B1344" t="str">
        <f>HYPERLINK("https://www.suredividend.com/sure-analysis-research-database/","Premier Financial Corp")</f>
        <v>Premier Financial Corp</v>
      </c>
      <c r="C1344">
        <v>-8.6252687492095012E-2</v>
      </c>
      <c r="D1344">
        <v>8.6555912327230013E-3</v>
      </c>
      <c r="E1344">
        <v>0.118303583767737</v>
      </c>
      <c r="F1344">
        <v>-0.13364481578710599</v>
      </c>
      <c r="G1344">
        <v>-7.0068905917450006E-2</v>
      </c>
      <c r="H1344">
        <v>-0.19272776609456599</v>
      </c>
      <c r="I1344">
        <v>-0.31253610629693801</v>
      </c>
    </row>
    <row r="1345" spans="1:9" x14ac:dyDescent="0.2">
      <c r="A1345" s="1" t="s">
        <v>1345</v>
      </c>
      <c r="B1345" t="str">
        <f>HYPERLINK("https://www.suredividend.com/sure-analysis-research-database/","Peoples Financial Services Corp")</f>
        <v>Peoples Financial Services Corp</v>
      </c>
      <c r="C1345">
        <v>-0.135296628254374</v>
      </c>
      <c r="D1345">
        <v>-5.0270949354034013E-2</v>
      </c>
      <c r="E1345">
        <v>-7.2700975815162008E-2</v>
      </c>
      <c r="F1345">
        <v>-0.167967145790554</v>
      </c>
      <c r="G1345">
        <v>-0.15314102751664599</v>
      </c>
      <c r="H1345">
        <v>-8.4775700026878009E-2</v>
      </c>
      <c r="I1345">
        <v>0.14355382210005199</v>
      </c>
    </row>
    <row r="1346" spans="1:9" x14ac:dyDescent="0.2">
      <c r="A1346" s="1" t="s">
        <v>1346</v>
      </c>
      <c r="B1346" t="str">
        <f>HYPERLINK("https://www.suredividend.com/sure-analysis-research-database/","Performant Financial Corp")</f>
        <v>Performant Financial Corp</v>
      </c>
      <c r="C1346">
        <v>2.9520295202952001E-2</v>
      </c>
      <c r="D1346">
        <v>-3.7931034482758003E-2</v>
      </c>
      <c r="E1346">
        <v>0.21834061135371099</v>
      </c>
      <c r="F1346">
        <v>-0.107199999999999</v>
      </c>
      <c r="G1346">
        <v>-0.16716417910447701</v>
      </c>
      <c r="H1346">
        <v>6.0836501901139997E-2</v>
      </c>
      <c r="I1346">
        <v>0.134146341463414</v>
      </c>
    </row>
    <row r="1347" spans="1:9" x14ac:dyDescent="0.2">
      <c r="A1347" s="1" t="s">
        <v>1347</v>
      </c>
      <c r="B1347" t="str">
        <f>HYPERLINK("https://www.suredividend.com/sure-analysis-research-database/","Provident Financial Services Inc")</f>
        <v>Provident Financial Services Inc</v>
      </c>
      <c r="C1347">
        <v>-7.7207747634822008E-2</v>
      </c>
      <c r="D1347">
        <v>4.8552839398640002E-3</v>
      </c>
      <c r="E1347">
        <v>-5.7713522968994013E-2</v>
      </c>
      <c r="F1347">
        <v>-0.12890120973421801</v>
      </c>
      <c r="G1347">
        <v>-0.313483869535291</v>
      </c>
      <c r="H1347">
        <v>-0.27875307323035498</v>
      </c>
      <c r="I1347">
        <v>-0.28902215252452301</v>
      </c>
    </row>
    <row r="1348" spans="1:9" x14ac:dyDescent="0.2">
      <c r="A1348" s="1" t="s">
        <v>1348</v>
      </c>
      <c r="B1348" t="str">
        <f>HYPERLINK("https://www.suredividend.com/sure-analysis-research-database/","PennyMac Financial Services Inc.")</f>
        <v>PennyMac Financial Services Inc.</v>
      </c>
      <c r="C1348">
        <v>1.92911325418E-2</v>
      </c>
      <c r="D1348">
        <v>0.11531735813524401</v>
      </c>
      <c r="E1348">
        <v>0.26221840756925102</v>
      </c>
      <c r="F1348">
        <v>-1.2658744649916001E-2</v>
      </c>
      <c r="G1348">
        <v>0.36628787462668699</v>
      </c>
      <c r="H1348">
        <v>0.51042254009837007</v>
      </c>
      <c r="I1348">
        <v>2.8050200390729141</v>
      </c>
    </row>
    <row r="1349" spans="1:9" x14ac:dyDescent="0.2">
      <c r="A1349" s="1" t="s">
        <v>1349</v>
      </c>
      <c r="B1349" t="str">
        <f>HYPERLINK("https://www.suredividend.com/sure-analysis-research-database/","Peapack-Gladstone Financial Corp.")</f>
        <v>Peapack-Gladstone Financial Corp.</v>
      </c>
      <c r="C1349">
        <v>-0.17122557726465301</v>
      </c>
      <c r="D1349">
        <v>-9.1146371013295008E-2</v>
      </c>
      <c r="E1349">
        <v>-0.16455088791087499</v>
      </c>
      <c r="F1349">
        <v>-0.214581250273533</v>
      </c>
      <c r="G1349">
        <v>-0.38624321921087601</v>
      </c>
      <c r="H1349">
        <v>-0.37461633932089711</v>
      </c>
      <c r="I1349">
        <v>-0.178101495481848</v>
      </c>
    </row>
    <row r="1350" spans="1:9" x14ac:dyDescent="0.2">
      <c r="A1350" s="1" t="s">
        <v>1350</v>
      </c>
      <c r="B1350" t="str">
        <f>HYPERLINK("https://www.suredividend.com/sure-analysis-research-database/","Precigen Inc")</f>
        <v>Precigen Inc</v>
      </c>
      <c r="C1350">
        <v>0.109375</v>
      </c>
      <c r="D1350">
        <v>0.173553719008264</v>
      </c>
      <c r="E1350">
        <v>-0.118012422360248</v>
      </c>
      <c r="F1350">
        <v>5.9701492537313001E-2</v>
      </c>
      <c r="G1350">
        <v>2.1582733812949E-2</v>
      </c>
      <c r="H1350">
        <v>-0.30392156862745101</v>
      </c>
      <c r="I1350">
        <v>-0.82138364779874207</v>
      </c>
    </row>
    <row r="1351" spans="1:9" x14ac:dyDescent="0.2">
      <c r="A1351" s="1" t="s">
        <v>1351</v>
      </c>
      <c r="B1351" t="str">
        <f>HYPERLINK("https://www.suredividend.com/sure-analysis-research-database/","Progyny Inc")</f>
        <v>Progyny Inc</v>
      </c>
      <c r="C1351">
        <v>7.9925153702218005E-2</v>
      </c>
      <c r="D1351">
        <v>0.220912662435781</v>
      </c>
      <c r="E1351">
        <v>8.0502808237496004E-2</v>
      </c>
      <c r="F1351">
        <v>8.6605701990317002E-2</v>
      </c>
      <c r="G1351">
        <v>0.20202320737875601</v>
      </c>
      <c r="H1351">
        <v>8.7775982767905006E-2</v>
      </c>
      <c r="I1351">
        <v>1.534504391468005</v>
      </c>
    </row>
    <row r="1352" spans="1:9" x14ac:dyDescent="0.2">
      <c r="A1352" s="1" t="s">
        <v>1352</v>
      </c>
      <c r="B1352" t="str">
        <f>HYPERLINK("https://www.suredividend.com/sure-analysis-PGRE/","Paramount Group Inc")</f>
        <v>Paramount Group Inc</v>
      </c>
      <c r="C1352">
        <v>-5.6224899598392997E-2</v>
      </c>
      <c r="D1352">
        <v>2.1916855105235E-2</v>
      </c>
      <c r="E1352">
        <v>5.9500877530920008E-3</v>
      </c>
      <c r="F1352">
        <v>-9.090909090909001E-2</v>
      </c>
      <c r="G1352">
        <v>-0.14808772883813601</v>
      </c>
      <c r="H1352">
        <v>-0.46818140671675501</v>
      </c>
      <c r="I1352">
        <v>-0.61115247786878402</v>
      </c>
    </row>
    <row r="1353" spans="1:9" x14ac:dyDescent="0.2">
      <c r="A1353" s="1" t="s">
        <v>1353</v>
      </c>
      <c r="B1353" t="str">
        <f>HYPERLINK("https://www.suredividend.com/sure-analysis-research-database/","PGT Innovations Inc")</f>
        <v>PGT Innovations Inc</v>
      </c>
      <c r="C1353">
        <v>8.5199610516060002E-3</v>
      </c>
      <c r="D1353">
        <v>0.298746081504702</v>
      </c>
      <c r="E1353">
        <v>0.50163102573396101</v>
      </c>
      <c r="F1353">
        <v>1.7936117936117001E-2</v>
      </c>
      <c r="G1353">
        <v>0.92429168601950706</v>
      </c>
      <c r="H1353">
        <v>1.120266120777891</v>
      </c>
      <c r="I1353">
        <v>1.348639455782312</v>
      </c>
    </row>
    <row r="1354" spans="1:9" x14ac:dyDescent="0.2">
      <c r="A1354" s="1" t="s">
        <v>1354</v>
      </c>
      <c r="B1354" t="str">
        <f>HYPERLINK("https://www.suredividend.com/sure-analysis-research-database/","Phathom Pharmaceuticals Inc")</f>
        <v>Phathom Pharmaceuticals Inc</v>
      </c>
      <c r="C1354">
        <v>0.35781041388517998</v>
      </c>
      <c r="D1354">
        <v>0.37246963562752999</v>
      </c>
      <c r="E1354">
        <v>-0.31237322515212901</v>
      </c>
      <c r="F1354">
        <v>0.113910186199342</v>
      </c>
      <c r="G1354">
        <v>4.7373841400616998E-2</v>
      </c>
      <c r="H1354">
        <v>-0.43120805369127502</v>
      </c>
      <c r="I1354">
        <v>-0.58658536585365806</v>
      </c>
    </row>
    <row r="1355" spans="1:9" x14ac:dyDescent="0.2">
      <c r="A1355" s="1" t="s">
        <v>1355</v>
      </c>
      <c r="B1355" t="str">
        <f>HYPERLINK("https://www.suredividend.com/sure-analysis-research-database/","Phreesia Inc")</f>
        <v>Phreesia Inc</v>
      </c>
      <c r="C1355">
        <v>4.6247464503042013E-2</v>
      </c>
      <c r="D1355">
        <v>0.61288305190744208</v>
      </c>
      <c r="E1355">
        <v>-4.9742078113485001E-2</v>
      </c>
      <c r="F1355">
        <v>0.114038876889848</v>
      </c>
      <c r="G1355">
        <v>-0.29861299972803901</v>
      </c>
      <c r="H1355">
        <v>-6.3203777697056998E-2</v>
      </c>
      <c r="I1355">
        <v>2.8309409888357E-2</v>
      </c>
    </row>
    <row r="1356" spans="1:9" x14ac:dyDescent="0.2">
      <c r="A1356" s="1" t="s">
        <v>1356</v>
      </c>
      <c r="B1356" t="str">
        <f>HYPERLINK("https://www.suredividend.com/sure-analysis-research-database/","Impinj Inc")</f>
        <v>Impinj Inc</v>
      </c>
      <c r="C1356">
        <v>5.3848557441933002E-2</v>
      </c>
      <c r="D1356">
        <v>0.224642943597191</v>
      </c>
      <c r="E1356">
        <v>0.75842891901286003</v>
      </c>
      <c r="F1356">
        <v>0.123847606353437</v>
      </c>
      <c r="G1356">
        <v>-0.22157254962301801</v>
      </c>
      <c r="H1356">
        <v>0.51172867174660108</v>
      </c>
      <c r="I1356">
        <v>4.2127769191138604</v>
      </c>
    </row>
    <row r="1357" spans="1:9" x14ac:dyDescent="0.2">
      <c r="A1357" s="1" t="s">
        <v>1357</v>
      </c>
      <c r="B1357" t="str">
        <f>HYPERLINK("https://www.suredividend.com/sure-analysis-research-database/","P3 Health Partners Inc")</f>
        <v>P3 Health Partners Inc</v>
      </c>
      <c r="C1357">
        <v>-0.132231404958677</v>
      </c>
      <c r="D1357">
        <v>-0.11764705882352899</v>
      </c>
      <c r="E1357">
        <v>-0.36746987951807197</v>
      </c>
      <c r="F1357">
        <v>-0.25531914893617003</v>
      </c>
      <c r="G1357">
        <v>9.6153846153840001E-3</v>
      </c>
      <c r="H1357">
        <v>-0.82772764561115608</v>
      </c>
      <c r="I1357">
        <v>-0.89153676903529711</v>
      </c>
    </row>
    <row r="1358" spans="1:9" x14ac:dyDescent="0.2">
      <c r="A1358" s="1" t="s">
        <v>1358</v>
      </c>
      <c r="B1358" t="str">
        <f>HYPERLINK("https://www.suredividend.com/sure-analysis-PINE/","Alpine Income Property Trust Inc")</f>
        <v>Alpine Income Property Trust Inc</v>
      </c>
      <c r="C1358">
        <v>1.2650221378874E-2</v>
      </c>
      <c r="D1358">
        <v>1.9024765929820001E-2</v>
      </c>
      <c r="E1358">
        <v>-2.3023927065471E-2</v>
      </c>
      <c r="F1358">
        <v>-5.3222945002955997E-2</v>
      </c>
      <c r="G1358">
        <v>-0.11651417660887101</v>
      </c>
      <c r="H1358">
        <v>-4.0432494635770998E-2</v>
      </c>
      <c r="I1358">
        <v>8.0559380146324008E-2</v>
      </c>
    </row>
    <row r="1359" spans="1:9" x14ac:dyDescent="0.2">
      <c r="A1359" s="1" t="s">
        <v>1359</v>
      </c>
      <c r="B1359" t="str">
        <f>HYPERLINK("https://www.suredividend.com/sure-analysis-research-database/","Piper Sandler Co`s")</f>
        <v>Piper Sandler Co`s</v>
      </c>
      <c r="C1359">
        <v>0.10110380460310001</v>
      </c>
      <c r="D1359">
        <v>0.223512526096033</v>
      </c>
      <c r="E1359">
        <v>0.37961576148845999</v>
      </c>
      <c r="F1359">
        <v>7.2453822839823004E-2</v>
      </c>
      <c r="G1359">
        <v>0.21932903744264601</v>
      </c>
      <c r="H1359">
        <v>0.32302510954074998</v>
      </c>
      <c r="I1359">
        <v>1.59351607152982</v>
      </c>
    </row>
    <row r="1360" spans="1:9" x14ac:dyDescent="0.2">
      <c r="A1360" s="1" t="s">
        <v>1360</v>
      </c>
      <c r="B1360" t="str">
        <f>HYPERLINK("https://www.suredividend.com/sure-analysis-research-database/","PJT Partners Inc")</f>
        <v>PJT Partners Inc</v>
      </c>
      <c r="C1360">
        <v>4.8322968702211998E-2</v>
      </c>
      <c r="D1360">
        <v>0.232751903134927</v>
      </c>
      <c r="E1360">
        <v>0.35953239383734997</v>
      </c>
      <c r="F1360">
        <v>9.4237754000190011E-3</v>
      </c>
      <c r="G1360">
        <v>0.27717236051459498</v>
      </c>
      <c r="H1360">
        <v>0.6582942936163001</v>
      </c>
      <c r="I1360">
        <v>1.471263124755168</v>
      </c>
    </row>
    <row r="1361" spans="1:9" x14ac:dyDescent="0.2">
      <c r="A1361" s="1" t="s">
        <v>1361</v>
      </c>
      <c r="B1361" t="str">
        <f>HYPERLINK("https://www.suredividend.com/sure-analysis-research-database/","Parke Bancorp Inc")</f>
        <v>Parke Bancorp Inc</v>
      </c>
      <c r="C1361">
        <v>-9.6913914455874009E-2</v>
      </c>
      <c r="D1361">
        <v>-4.4892349977095E-2</v>
      </c>
      <c r="E1361">
        <v>-3.1094433440021E-2</v>
      </c>
      <c r="F1361">
        <v>-0.161391848205891</v>
      </c>
      <c r="G1361">
        <v>-0.11925907934060501</v>
      </c>
      <c r="H1361">
        <v>-0.22409943435546201</v>
      </c>
      <c r="I1361">
        <v>5.1894734850634013E-2</v>
      </c>
    </row>
    <row r="1362" spans="1:9" x14ac:dyDescent="0.2">
      <c r="A1362" s="1" t="s">
        <v>1362</v>
      </c>
      <c r="B1362" t="str">
        <f>HYPERLINK("https://www.suredividend.com/sure-analysis-research-database/","Park Aerospace Corp")</f>
        <v>Park Aerospace Corp</v>
      </c>
      <c r="C1362">
        <v>8.4328882642300002E-3</v>
      </c>
      <c r="D1362">
        <v>-4.2784529797083012E-2</v>
      </c>
      <c r="E1362">
        <v>4.7300009487735002E-2</v>
      </c>
      <c r="F1362">
        <v>-1.5437392795883E-2</v>
      </c>
      <c r="G1362">
        <v>-1.2748274889407E-2</v>
      </c>
      <c r="H1362">
        <v>0.23694100610281699</v>
      </c>
      <c r="I1362">
        <v>8.4934903905765011E-2</v>
      </c>
    </row>
    <row r="1363" spans="1:9" x14ac:dyDescent="0.2">
      <c r="A1363" s="1" t="s">
        <v>1363</v>
      </c>
      <c r="B1363" t="str">
        <f>HYPERLINK("https://www.suredividend.com/sure-analysis-research-database/","Park-Ohio Holdings Corp.")</f>
        <v>Park-Ohio Holdings Corp.</v>
      </c>
      <c r="C1363">
        <v>-3.3256455910996997E-2</v>
      </c>
      <c r="D1363">
        <v>6.1744813768122013E-2</v>
      </c>
      <c r="E1363">
        <v>0.29082012551856101</v>
      </c>
      <c r="F1363">
        <v>-9.0271868897193006E-2</v>
      </c>
      <c r="G1363">
        <v>0.77751411684573601</v>
      </c>
      <c r="H1363">
        <v>0.55663735544823001</v>
      </c>
      <c r="I1363">
        <v>-0.18950328272877201</v>
      </c>
    </row>
    <row r="1364" spans="1:9" x14ac:dyDescent="0.2">
      <c r="A1364" s="1" t="s">
        <v>1364</v>
      </c>
      <c r="B1364" t="str">
        <f>HYPERLINK("https://www.suredividend.com/sure-analysis-research-database/","Peakstone Realty Trust")</f>
        <v>Peakstone Realty Trust</v>
      </c>
      <c r="C1364">
        <v>-0.114942528735632</v>
      </c>
      <c r="D1364">
        <v>-0.151463205583445</v>
      </c>
      <c r="E1364">
        <v>-0.25219324276202898</v>
      </c>
      <c r="F1364">
        <v>-0.30456598093326598</v>
      </c>
      <c r="G1364">
        <v>0.23175912266045701</v>
      </c>
      <c r="H1364">
        <v>0.23175912266045701</v>
      </c>
      <c r="I1364">
        <v>0.23175912266045701</v>
      </c>
    </row>
    <row r="1365" spans="1:9" x14ac:dyDescent="0.2">
      <c r="A1365" s="1" t="s">
        <v>1365</v>
      </c>
      <c r="B1365" t="str">
        <f>HYPERLINK("https://www.suredividend.com/sure-analysis-research-database/","Planet Labs PBC")</f>
        <v>Planet Labs PBC</v>
      </c>
      <c r="C1365">
        <v>5.2132701421801007E-2</v>
      </c>
      <c r="D1365">
        <v>-8.6419753086419013E-2</v>
      </c>
      <c r="E1365">
        <v>-0.32110091743119201</v>
      </c>
      <c r="F1365">
        <v>-0.10121457489878501</v>
      </c>
      <c r="G1365">
        <v>-0.52765957446808509</v>
      </c>
      <c r="H1365">
        <v>-0.57389635316698606</v>
      </c>
      <c r="I1365">
        <v>-0.77575757575757509</v>
      </c>
    </row>
    <row r="1366" spans="1:9" x14ac:dyDescent="0.2">
      <c r="A1366" s="1" t="s">
        <v>1366</v>
      </c>
      <c r="B1366" t="str">
        <f>HYPERLINK("https://www.suredividend.com/sure-analysis-research-database/","Photronics, Inc.")</f>
        <v>Photronics, Inc.</v>
      </c>
      <c r="C1366">
        <v>3.5358405657340002E-3</v>
      </c>
      <c r="D1366">
        <v>0.43540229885057402</v>
      </c>
      <c r="E1366">
        <v>0.40884476534295999</v>
      </c>
      <c r="F1366">
        <v>-4.7816385081280001E-3</v>
      </c>
      <c r="G1366">
        <v>0.73251942286348504</v>
      </c>
      <c r="H1366">
        <v>0.70136239782016307</v>
      </c>
      <c r="I1366">
        <v>1.745822339489886</v>
      </c>
    </row>
    <row r="1367" spans="1:9" x14ac:dyDescent="0.2">
      <c r="A1367" s="1" t="s">
        <v>1367</v>
      </c>
      <c r="B1367" t="str">
        <f>HYPERLINK("https://www.suredividend.com/sure-analysis-research-database/","Dave &amp; Buster`s Entertainment Inc")</f>
        <v>Dave &amp; Buster`s Entertainment Inc</v>
      </c>
      <c r="C1367">
        <v>0.250360304714844</v>
      </c>
      <c r="D1367">
        <v>0.5583782396715421</v>
      </c>
      <c r="E1367">
        <v>0.51446384039900206</v>
      </c>
      <c r="F1367">
        <v>0.127762302692664</v>
      </c>
      <c r="G1367">
        <v>0.42224824355971802</v>
      </c>
      <c r="H1367">
        <v>0.43129860947442811</v>
      </c>
      <c r="I1367">
        <v>0.21803974423772701</v>
      </c>
    </row>
    <row r="1368" spans="1:9" x14ac:dyDescent="0.2">
      <c r="A1368" s="1" t="s">
        <v>1368</v>
      </c>
      <c r="B1368" t="str">
        <f>HYPERLINK("https://www.suredividend.com/sure-analysis-research-database/","Plumas Bancorp.")</f>
        <v>Plumas Bancorp.</v>
      </c>
      <c r="C1368">
        <v>-0.109078466914972</v>
      </c>
      <c r="D1368">
        <v>8.7418377969140006E-3</v>
      </c>
      <c r="E1368">
        <v>-2.0278033088235E-2</v>
      </c>
      <c r="F1368">
        <v>-0.16251319698494901</v>
      </c>
      <c r="G1368">
        <v>-0.18262594893029599</v>
      </c>
      <c r="H1368">
        <v>-5.9348465753500002E-2</v>
      </c>
      <c r="I1368">
        <v>0.599096142666941</v>
      </c>
    </row>
    <row r="1369" spans="1:9" x14ac:dyDescent="0.2">
      <c r="A1369" s="1" t="s">
        <v>1369</v>
      </c>
      <c r="B1369" t="str">
        <f>HYPERLINK("https://www.suredividend.com/sure-analysis-research-database/","Childrens Place Inc")</f>
        <v>Childrens Place Inc</v>
      </c>
      <c r="C1369">
        <v>0.108933454876936</v>
      </c>
      <c r="D1369">
        <v>0.25866528711846798</v>
      </c>
      <c r="E1369">
        <v>-0.119116582186821</v>
      </c>
      <c r="F1369">
        <v>4.7803617571059012E-2</v>
      </c>
      <c r="G1369">
        <v>-0.47016550522647999</v>
      </c>
      <c r="H1369">
        <v>-0.62389859329107999</v>
      </c>
      <c r="I1369">
        <v>-0.72668940323254605</v>
      </c>
    </row>
    <row r="1370" spans="1:9" x14ac:dyDescent="0.2">
      <c r="A1370" s="1" t="s">
        <v>1370</v>
      </c>
      <c r="B1370" t="str">
        <f>HYPERLINK("https://www.suredividend.com/sure-analysis-research-database/","Piedmont Lithium Inc")</f>
        <v>Piedmont Lithium Inc</v>
      </c>
      <c r="C1370">
        <v>-0.21986607142857101</v>
      </c>
      <c r="D1370">
        <v>-0.52319236016371007</v>
      </c>
      <c r="E1370">
        <v>-0.69132258776771904</v>
      </c>
      <c r="F1370">
        <v>-0.50478214665249699</v>
      </c>
      <c r="G1370">
        <v>-0.78318858560794002</v>
      </c>
      <c r="H1370">
        <v>-0.71287738755391206</v>
      </c>
      <c r="I1370">
        <v>-0.78643446379468307</v>
      </c>
    </row>
    <row r="1371" spans="1:9" x14ac:dyDescent="0.2">
      <c r="A1371" s="1" t="s">
        <v>1371</v>
      </c>
      <c r="B1371" t="str">
        <f>HYPERLINK("https://www.suredividend.com/sure-analysis-research-database/","Palomar Holdings Inc")</f>
        <v>Palomar Holdings Inc</v>
      </c>
      <c r="C1371">
        <v>0.20591999999999999</v>
      </c>
      <c r="D1371">
        <v>0.28771570134973501</v>
      </c>
      <c r="E1371">
        <v>0.44138458596289898</v>
      </c>
      <c r="F1371">
        <v>0.35801801801801802</v>
      </c>
      <c r="G1371">
        <v>0.29058219178082201</v>
      </c>
      <c r="H1371">
        <v>0.36465688937171797</v>
      </c>
      <c r="I1371">
        <v>2.9689310163243818</v>
      </c>
    </row>
    <row r="1372" spans="1:9" x14ac:dyDescent="0.2">
      <c r="A1372" s="1" t="s">
        <v>1372</v>
      </c>
      <c r="B1372" t="str">
        <f>HYPERLINK("https://www.suredividend.com/sure-analysis-research-database/","Douglas Dynamics Inc")</f>
        <v>Douglas Dynamics Inc</v>
      </c>
      <c r="C1372">
        <v>-6.7638266068759001E-2</v>
      </c>
      <c r="D1372">
        <v>-8.7644623868240012E-2</v>
      </c>
      <c r="E1372">
        <v>-0.17393679540450599</v>
      </c>
      <c r="F1372">
        <v>-0.159366576819407</v>
      </c>
      <c r="G1372">
        <v>-0.35033147416167998</v>
      </c>
      <c r="H1372">
        <v>-0.26284627020894402</v>
      </c>
      <c r="I1372">
        <v>-0.20793399344124899</v>
      </c>
    </row>
    <row r="1373" spans="1:9" x14ac:dyDescent="0.2">
      <c r="A1373" s="1" t="s">
        <v>1373</v>
      </c>
      <c r="B1373" t="str">
        <f>HYPERLINK("https://www.suredividend.com/sure-analysis-research-database/","Preformed Line Products Co.")</f>
        <v>Preformed Line Products Co.</v>
      </c>
      <c r="C1373">
        <v>2.0483870967741E-2</v>
      </c>
      <c r="D1373">
        <v>-4.5424199333893002E-2</v>
      </c>
      <c r="E1373">
        <v>-0.196646918257839</v>
      </c>
      <c r="F1373">
        <v>-5.1699394553454001E-2</v>
      </c>
      <c r="G1373">
        <v>0.349732645418386</v>
      </c>
      <c r="H1373">
        <v>1.3054303506425831</v>
      </c>
      <c r="I1373">
        <v>1.1497667433429259</v>
      </c>
    </row>
    <row r="1374" spans="1:9" x14ac:dyDescent="0.2">
      <c r="A1374" s="1" t="s">
        <v>1374</v>
      </c>
      <c r="B1374" t="str">
        <f>HYPERLINK("https://www.suredividend.com/sure-analysis-research-database/","Pliant Therapeutics Inc")</f>
        <v>Pliant Therapeutics Inc</v>
      </c>
      <c r="C1374">
        <v>-6.8862275449101007E-2</v>
      </c>
      <c r="D1374">
        <v>8.286908077994401E-2</v>
      </c>
      <c r="E1374">
        <v>-7.3301549463647003E-2</v>
      </c>
      <c r="F1374">
        <v>-0.141358365543898</v>
      </c>
      <c r="G1374">
        <v>-0.50524976137448308</v>
      </c>
      <c r="H1374">
        <v>0.57707910750507108</v>
      </c>
      <c r="I1374">
        <v>-0.269953051643192</v>
      </c>
    </row>
    <row r="1375" spans="1:9" x14ac:dyDescent="0.2">
      <c r="A1375" s="1" t="s">
        <v>1375</v>
      </c>
      <c r="B1375" t="str">
        <f>HYPERLINK("https://www.suredividend.com/sure-analysis-research-database/","Pulse Biosciences Inc")</f>
        <v>Pulse Biosciences Inc</v>
      </c>
      <c r="C1375">
        <v>0.102657004830918</v>
      </c>
      <c r="D1375">
        <v>0.45846645367412098</v>
      </c>
      <c r="E1375">
        <v>8.9498806682577009E-2</v>
      </c>
      <c r="F1375">
        <v>-0.25408496732026098</v>
      </c>
      <c r="G1375">
        <v>2.2724014336917562</v>
      </c>
      <c r="H1375">
        <v>0.52931323283082099</v>
      </c>
      <c r="I1375">
        <v>-0.45329341317365202</v>
      </c>
    </row>
    <row r="1376" spans="1:9" x14ac:dyDescent="0.2">
      <c r="A1376" s="1" t="s">
        <v>1376</v>
      </c>
      <c r="B1376" t="str">
        <f>HYPERLINK("https://www.suredividend.com/sure-analysis-research-database/","ePlus Inc")</f>
        <v>ePlus Inc</v>
      </c>
      <c r="C1376">
        <v>2.3549310434555999E-2</v>
      </c>
      <c r="D1376">
        <v>0.26114139147162502</v>
      </c>
      <c r="E1376">
        <v>0.26662373208822998</v>
      </c>
      <c r="F1376">
        <v>-1.4654308617234E-2</v>
      </c>
      <c r="G1376">
        <v>0.39238938053097311</v>
      </c>
      <c r="H1376">
        <v>0.69219186921918607</v>
      </c>
      <c r="I1376">
        <v>0.70632252467194401</v>
      </c>
    </row>
    <row r="1377" spans="1:9" x14ac:dyDescent="0.2">
      <c r="A1377" s="1" t="s">
        <v>1377</v>
      </c>
      <c r="B1377" t="str">
        <f>HYPERLINK("https://www.suredividend.com/sure-analysis-research-database/","Protalix BioTherapeutics Inc.")</f>
        <v>Protalix BioTherapeutics Inc.</v>
      </c>
      <c r="C1377">
        <v>-4.6357615894039E-2</v>
      </c>
      <c r="D1377">
        <v>3.5971223021581997E-2</v>
      </c>
      <c r="E1377">
        <v>-0.25773195876288602</v>
      </c>
      <c r="F1377">
        <v>-0.19101123595505601</v>
      </c>
      <c r="G1377">
        <v>-7.6923076923076011E-2</v>
      </c>
      <c r="H1377">
        <v>0.68263612993690104</v>
      </c>
      <c r="I1377">
        <v>-0.68274950429610004</v>
      </c>
    </row>
    <row r="1378" spans="1:9" x14ac:dyDescent="0.2">
      <c r="A1378" s="1" t="s">
        <v>1378</v>
      </c>
      <c r="B1378" t="str">
        <f>HYPERLINK("https://www.suredividend.com/sure-analysis-research-database/","Plexus Corp.")</f>
        <v>Plexus Corp.</v>
      </c>
      <c r="C1378">
        <v>-4.8805287239449997E-2</v>
      </c>
      <c r="D1378">
        <v>-0.124719311377245</v>
      </c>
      <c r="E1378">
        <v>-3.8244062917651013E-2</v>
      </c>
      <c r="F1378">
        <v>-0.13483769536668799</v>
      </c>
      <c r="G1378">
        <v>-6.6180874426033001E-2</v>
      </c>
      <c r="H1378">
        <v>0.14322375656849501</v>
      </c>
      <c r="I1378">
        <v>0.56229124916499607</v>
      </c>
    </row>
    <row r="1379" spans="1:9" x14ac:dyDescent="0.2">
      <c r="A1379" s="1" t="s">
        <v>1379</v>
      </c>
      <c r="B1379" t="str">
        <f>HYPERLINK("https://www.suredividend.com/sure-analysis-PLYM/","Plymouth Industrial Reit Inc")</f>
        <v>Plymouth Industrial Reit Inc</v>
      </c>
      <c r="C1379">
        <v>-2.6002644336712E-2</v>
      </c>
      <c r="D1379">
        <v>5.5658520740585013E-2</v>
      </c>
      <c r="E1379">
        <v>3.1505250875144997E-2</v>
      </c>
      <c r="F1379">
        <v>-8.1844619858745013E-2</v>
      </c>
      <c r="G1379">
        <v>4.4788820286867002E-2</v>
      </c>
      <c r="H1379">
        <v>-0.13803190452045699</v>
      </c>
      <c r="I1379">
        <v>0.88495786564770906</v>
      </c>
    </row>
    <row r="1380" spans="1:9" x14ac:dyDescent="0.2">
      <c r="A1380" s="1" t="s">
        <v>1380</v>
      </c>
      <c r="B1380" t="str">
        <f>HYPERLINK("https://www.suredividend.com/sure-analysis-PMT/","Pennymac Mortgage Investment Trust")</f>
        <v>Pennymac Mortgage Investment Trust</v>
      </c>
      <c r="C1380">
        <v>-6.1946902654867013E-2</v>
      </c>
      <c r="D1380">
        <v>1.3451397724513999E-2</v>
      </c>
      <c r="E1380">
        <v>0.15773024381227599</v>
      </c>
      <c r="F1380">
        <v>-7.8260869565217009E-2</v>
      </c>
      <c r="G1380">
        <v>0.103185468053254</v>
      </c>
      <c r="H1380">
        <v>0.12593657823134799</v>
      </c>
      <c r="I1380">
        <v>0.188351055114307</v>
      </c>
    </row>
    <row r="1381" spans="1:9" x14ac:dyDescent="0.2">
      <c r="A1381" s="1" t="s">
        <v>1381</v>
      </c>
      <c r="B1381" t="str">
        <f>HYPERLINK("https://www.suredividend.com/sure-analysis-research-database/","CPI Card Group Inc")</f>
        <v>CPI Card Group Inc</v>
      </c>
      <c r="C1381">
        <v>9.158557527189401E-2</v>
      </c>
      <c r="D1381">
        <v>0.22087067861715701</v>
      </c>
      <c r="E1381">
        <v>-0.12802926383173199</v>
      </c>
      <c r="F1381">
        <v>-6.2532569046370003E-3</v>
      </c>
      <c r="G1381">
        <v>-0.48108843537414903</v>
      </c>
      <c r="H1381">
        <v>0.38288614938361099</v>
      </c>
      <c r="I1381">
        <v>4.4485714285714284</v>
      </c>
    </row>
    <row r="1382" spans="1:9" x14ac:dyDescent="0.2">
      <c r="A1382" s="1" t="s">
        <v>1382</v>
      </c>
      <c r="B1382" t="str">
        <f>HYPERLINK("https://www.suredividend.com/sure-analysis-research-database/","PMV Pharmaceuticals Inc")</f>
        <v>PMV Pharmaceuticals Inc</v>
      </c>
      <c r="C1382">
        <v>-6.2111801242230001E-3</v>
      </c>
      <c r="D1382">
        <v>-0.35742971887550201</v>
      </c>
      <c r="E1382">
        <v>-0.77746870653685607</v>
      </c>
      <c r="F1382">
        <v>-0.48387096774193511</v>
      </c>
      <c r="G1382">
        <v>-0.79823455233291307</v>
      </c>
      <c r="H1382">
        <v>-0.89576547231270309</v>
      </c>
      <c r="I1382">
        <v>-0.95734470807784611</v>
      </c>
    </row>
    <row r="1383" spans="1:9" x14ac:dyDescent="0.2">
      <c r="A1383" s="1" t="s">
        <v>1383</v>
      </c>
      <c r="B1383" t="str">
        <f>HYPERLINK("https://www.suredividend.com/sure-analysis-PNM/","PNM Resources Inc")</f>
        <v>PNM Resources Inc</v>
      </c>
      <c r="C1383">
        <v>5.5441559134201013E-2</v>
      </c>
      <c r="D1383">
        <v>-0.10107631766432799</v>
      </c>
      <c r="E1383">
        <v>-0.13916457753814801</v>
      </c>
      <c r="F1383">
        <v>-8.6382975621490013E-2</v>
      </c>
      <c r="G1383">
        <v>-0.20904715425263301</v>
      </c>
      <c r="H1383">
        <v>-0.102839417800047</v>
      </c>
      <c r="I1383">
        <v>-1.1823946974893E-2</v>
      </c>
    </row>
    <row r="1384" spans="1:9" x14ac:dyDescent="0.2">
      <c r="A1384" s="1" t="s">
        <v>1384</v>
      </c>
      <c r="B1384" t="str">
        <f>HYPERLINK("https://www.suredividend.com/sure-analysis-research-database/","PrimeEnergy Resources Corp")</f>
        <v>PrimeEnergy Resources Corp</v>
      </c>
      <c r="C1384">
        <v>-1.0659898477157001E-2</v>
      </c>
      <c r="D1384">
        <v>-9.0102707749766003E-2</v>
      </c>
      <c r="E1384">
        <v>1.520991769976E-2</v>
      </c>
      <c r="F1384">
        <v>-8.3685942642218E-2</v>
      </c>
      <c r="G1384">
        <v>0.106631841925959</v>
      </c>
      <c r="H1384">
        <v>0.30787813716279699</v>
      </c>
      <c r="I1384">
        <v>-0.19018549696600001</v>
      </c>
    </row>
    <row r="1385" spans="1:9" x14ac:dyDescent="0.2">
      <c r="A1385" s="1" t="s">
        <v>1385</v>
      </c>
      <c r="B1385" t="str">
        <f>HYPERLINK("https://www.suredividend.com/sure-analysis-research-database/","Pennant Group Inc")</f>
        <v>Pennant Group Inc</v>
      </c>
      <c r="C1385">
        <v>3.4373010821132997E-2</v>
      </c>
      <c r="D1385">
        <v>0.19397501836884601</v>
      </c>
      <c r="E1385">
        <v>0.35191347753743701</v>
      </c>
      <c r="F1385">
        <v>0.167385057471264</v>
      </c>
      <c r="G1385">
        <v>0.28458498023715401</v>
      </c>
      <c r="H1385">
        <v>0.15003538570417499</v>
      </c>
      <c r="I1385">
        <v>7.6872100728959003E-2</v>
      </c>
    </row>
    <row r="1386" spans="1:9" x14ac:dyDescent="0.2">
      <c r="A1386" s="1" t="s">
        <v>1386</v>
      </c>
      <c r="B1386" t="str">
        <f>HYPERLINK("https://www.suredividend.com/sure-analysis-POR/","Portland General Electric Co")</f>
        <v>Portland General Electric Co</v>
      </c>
      <c r="C1386">
        <v>1.1358024691358E-2</v>
      </c>
      <c r="D1386">
        <v>1.4544445765465E-2</v>
      </c>
      <c r="E1386">
        <v>-5.1509341336223001E-2</v>
      </c>
      <c r="F1386">
        <v>-5.4914628518689002E-2</v>
      </c>
      <c r="G1386">
        <v>-0.13893321056404401</v>
      </c>
      <c r="H1386">
        <v>-0.10941807776937</v>
      </c>
      <c r="I1386">
        <v>-9.5562347661230004E-3</v>
      </c>
    </row>
    <row r="1387" spans="1:9" x14ac:dyDescent="0.2">
      <c r="A1387" s="1" t="s">
        <v>1387</v>
      </c>
      <c r="B1387" t="str">
        <f>HYPERLINK("https://www.suredividend.com/sure-analysis-research-database/","Power Integrations Inc.")</f>
        <v>Power Integrations Inc.</v>
      </c>
      <c r="C1387">
        <v>-0.117203647416413</v>
      </c>
      <c r="D1387">
        <v>-7.0587241406676007E-2</v>
      </c>
      <c r="E1387">
        <v>-8.1789176974039007E-2</v>
      </c>
      <c r="F1387">
        <v>-0.115698453294361</v>
      </c>
      <c r="G1387">
        <v>-0.10706599668946599</v>
      </c>
      <c r="H1387">
        <v>-0.16915257224001501</v>
      </c>
      <c r="I1387">
        <v>1.057634159957606</v>
      </c>
    </row>
    <row r="1388" spans="1:9" x14ac:dyDescent="0.2">
      <c r="A1388" s="1" t="s">
        <v>1388</v>
      </c>
      <c r="B1388" t="str">
        <f>HYPERLINK("https://www.suredividend.com/sure-analysis-research-database/","Powell Industries, Inc.")</f>
        <v>Powell Industries, Inc.</v>
      </c>
      <c r="C1388">
        <v>0.88135620786246205</v>
      </c>
      <c r="D1388">
        <v>0.78162478778192501</v>
      </c>
      <c r="E1388">
        <v>0.92648903202829602</v>
      </c>
      <c r="F1388">
        <v>0.70705377139918602</v>
      </c>
      <c r="G1388">
        <v>2.570173689258616</v>
      </c>
      <c r="H1388">
        <v>6.0954378382459113</v>
      </c>
      <c r="I1388">
        <v>4.284872850977691</v>
      </c>
    </row>
    <row r="1389" spans="1:9" x14ac:dyDescent="0.2">
      <c r="A1389" s="1" t="s">
        <v>1389</v>
      </c>
      <c r="B1389" t="str">
        <f>HYPERLINK("https://www.suredividend.com/sure-analysis-research-database/","AMMO Inc")</f>
        <v>AMMO Inc</v>
      </c>
      <c r="C1389">
        <v>0.15942028985507201</v>
      </c>
      <c r="D1389">
        <v>0.10091743119266</v>
      </c>
      <c r="E1389">
        <v>0.22448979591836701</v>
      </c>
      <c r="F1389">
        <v>0.14285714285714199</v>
      </c>
      <c r="G1389">
        <v>0.15384615384615299</v>
      </c>
      <c r="H1389">
        <v>-0.43661971830985902</v>
      </c>
      <c r="I1389">
        <v>108.09090909090909</v>
      </c>
    </row>
    <row r="1390" spans="1:9" x14ac:dyDescent="0.2">
      <c r="A1390" s="1" t="s">
        <v>1390</v>
      </c>
      <c r="B1390" t="str">
        <f>HYPERLINK("https://www.suredividend.com/sure-analysis-research-database/","Pacific Premier Bancorp, Inc.")</f>
        <v>Pacific Premier Bancorp, Inc.</v>
      </c>
      <c r="C1390">
        <v>-9.8208311649691002E-2</v>
      </c>
      <c r="D1390">
        <v>7.4763870922011005E-2</v>
      </c>
      <c r="E1390">
        <v>0.113707415381649</v>
      </c>
      <c r="F1390">
        <v>-0.14343719657516099</v>
      </c>
      <c r="G1390">
        <v>-0.18534562366728699</v>
      </c>
      <c r="H1390">
        <v>-0.26036585365853598</v>
      </c>
      <c r="I1390">
        <v>3.2415110880361003E-2</v>
      </c>
    </row>
    <row r="1391" spans="1:9" x14ac:dyDescent="0.2">
      <c r="A1391" s="1" t="s">
        <v>1391</v>
      </c>
      <c r="B1391" t="str">
        <f>HYPERLINK("https://www.suredividend.com/sure-analysis-research-database/","Perpetua Resources Corp.")</f>
        <v>Perpetua Resources Corp.</v>
      </c>
      <c r="C1391">
        <v>-4.2483660130718012E-2</v>
      </c>
      <c r="D1391">
        <v>-8.1504702194357001E-2</v>
      </c>
      <c r="E1391">
        <v>6.1594202898550013E-2</v>
      </c>
      <c r="F1391">
        <v>-7.5709779179810005E-2</v>
      </c>
      <c r="G1391">
        <v>-0.109422492401215</v>
      </c>
      <c r="H1391">
        <v>-0.17231638418079001</v>
      </c>
      <c r="I1391">
        <v>2.815104166666667</v>
      </c>
    </row>
    <row r="1392" spans="1:9" x14ac:dyDescent="0.2">
      <c r="A1392" s="1" t="s">
        <v>1392</v>
      </c>
      <c r="B1392" t="str">
        <f>HYPERLINK("https://www.suredividend.com/sure-analysis-research-database/","Permian Resources Corp")</f>
        <v>Permian Resources Corp</v>
      </c>
      <c r="C1392">
        <v>9.3111279333838004E-2</v>
      </c>
      <c r="D1392">
        <v>8.4898572501878003E-2</v>
      </c>
      <c r="E1392">
        <v>0.12635626867185101</v>
      </c>
      <c r="F1392">
        <v>6.1764705882352007E-2</v>
      </c>
      <c r="G1392">
        <v>0.50940240626339206</v>
      </c>
      <c r="H1392">
        <v>0.88265971316818703</v>
      </c>
      <c r="I1392">
        <v>0.102290076335877</v>
      </c>
    </row>
    <row r="1393" spans="1:9" x14ac:dyDescent="0.2">
      <c r="A1393" s="1" t="s">
        <v>1393</v>
      </c>
      <c r="B1393" t="str">
        <f>HYPERLINK("https://www.suredividend.com/sure-analysis-research-database/","Proassurance Corporation")</f>
        <v>Proassurance Corporation</v>
      </c>
      <c r="C1393">
        <v>1.9832189168572999E-2</v>
      </c>
      <c r="D1393">
        <v>4.7805642633228007E-2</v>
      </c>
      <c r="E1393">
        <v>-0.24929814710836601</v>
      </c>
      <c r="F1393">
        <v>-3.0456852791878E-2</v>
      </c>
      <c r="G1393">
        <v>-0.31974519700423298</v>
      </c>
      <c r="H1393">
        <v>-0.44765532370207212</v>
      </c>
      <c r="I1393">
        <v>-0.682137406032019</v>
      </c>
    </row>
    <row r="1394" spans="1:9" x14ac:dyDescent="0.2">
      <c r="A1394" s="1" t="s">
        <v>1394</v>
      </c>
      <c r="B1394" t="str">
        <f>HYPERLINK("https://www.suredividend.com/sure-analysis-research-database/","PRA Group Inc")</f>
        <v>PRA Group Inc</v>
      </c>
      <c r="C1394">
        <v>0.13133940182054599</v>
      </c>
      <c r="D1394">
        <v>0.42700929469655502</v>
      </c>
      <c r="E1394">
        <v>0.32756866734486201</v>
      </c>
      <c r="F1394">
        <v>-3.8167938931290002E-3</v>
      </c>
      <c r="G1394">
        <v>-0.36013728855111499</v>
      </c>
      <c r="H1394">
        <v>-0.43677168752697398</v>
      </c>
      <c r="I1394">
        <v>-0.198895027624309</v>
      </c>
    </row>
    <row r="1395" spans="1:9" x14ac:dyDescent="0.2">
      <c r="A1395" s="1" t="s">
        <v>1395</v>
      </c>
      <c r="B1395" t="str">
        <f>HYPERLINK("https://www.suredividend.com/sure-analysis-research-database/","Procept BioRobotics Corp")</f>
        <v>Procept BioRobotics Corp</v>
      </c>
      <c r="C1395">
        <v>7.5537988581466001E-2</v>
      </c>
      <c r="D1395">
        <v>0.48289433848016899</v>
      </c>
      <c r="E1395">
        <v>0.63157894736842102</v>
      </c>
      <c r="F1395">
        <v>0.16869482223812901</v>
      </c>
      <c r="G1395">
        <v>0.30369976044716501</v>
      </c>
      <c r="H1395">
        <v>1.2488521579430669</v>
      </c>
      <c r="I1395">
        <v>0.16785884597043399</v>
      </c>
    </row>
    <row r="1396" spans="1:9" x14ac:dyDescent="0.2">
      <c r="A1396" s="1" t="s">
        <v>1396</v>
      </c>
      <c r="B1396" t="str">
        <f>HYPERLINK("https://www.suredividend.com/sure-analysis-research-database/","Perdoceo Education Corporation")</f>
        <v>Perdoceo Education Corporation</v>
      </c>
      <c r="C1396">
        <v>-2.2779043280182001E-2</v>
      </c>
      <c r="D1396">
        <v>2.5898558002725999E-2</v>
      </c>
      <c r="E1396">
        <v>0.100246850254864</v>
      </c>
      <c r="F1396">
        <v>-2.2779043280182001E-2</v>
      </c>
      <c r="G1396">
        <v>0.221560978387767</v>
      </c>
      <c r="H1396">
        <v>0.7252646712847991</v>
      </c>
      <c r="I1396">
        <v>0.230989956958393</v>
      </c>
    </row>
    <row r="1397" spans="1:9" x14ac:dyDescent="0.2">
      <c r="A1397" s="1" t="s">
        <v>1397</v>
      </c>
      <c r="B1397" t="str">
        <f>HYPERLINK("https://www.suredividend.com/sure-analysis-research-database/","Perficient Inc.")</f>
        <v>Perficient Inc.</v>
      </c>
      <c r="C1397">
        <v>-2.1680600821878001E-2</v>
      </c>
      <c r="D1397">
        <v>8.8272383354350004E-2</v>
      </c>
      <c r="E1397">
        <v>0.168584969532836</v>
      </c>
      <c r="F1397">
        <v>4.8921300516559997E-2</v>
      </c>
      <c r="G1397">
        <v>-6.7656988521269001E-2</v>
      </c>
      <c r="H1397">
        <v>-0.31751680506128899</v>
      </c>
      <c r="I1397">
        <v>1.5457227138643059</v>
      </c>
    </row>
    <row r="1398" spans="1:9" x14ac:dyDescent="0.2">
      <c r="A1398" s="1" t="s">
        <v>1398</v>
      </c>
      <c r="B1398" t="str">
        <f>HYPERLINK("https://www.suredividend.com/sure-analysis-research-database/","PROG Holdings Inc")</f>
        <v>PROG Holdings Inc</v>
      </c>
      <c r="C1398">
        <v>8.656113169417301E-2</v>
      </c>
      <c r="D1398">
        <v>0.13471684839957701</v>
      </c>
      <c r="E1398">
        <v>-5.1734273956495998E-2</v>
      </c>
      <c r="F1398">
        <v>4.3675186023940001E-2</v>
      </c>
      <c r="G1398">
        <v>0.37745516652433803</v>
      </c>
      <c r="H1398">
        <v>-0.104386451971127</v>
      </c>
      <c r="I1398">
        <v>-0.45103097607917603</v>
      </c>
    </row>
    <row r="1399" spans="1:9" x14ac:dyDescent="0.2">
      <c r="A1399" s="1" t="s">
        <v>1399</v>
      </c>
      <c r="B1399" t="str">
        <f>HYPERLINK("https://www.suredividend.com/sure-analysis-research-database/","Progress Software Corp.")</f>
        <v>Progress Software Corp.</v>
      </c>
      <c r="C1399">
        <v>-4.0497366375960013E-2</v>
      </c>
      <c r="D1399">
        <v>4.2892619225938997E-2</v>
      </c>
      <c r="E1399">
        <v>-4.3984293536053001E-2</v>
      </c>
      <c r="F1399">
        <v>2.3204419889502E-2</v>
      </c>
      <c r="G1399">
        <v>-1.8430053424541001E-2</v>
      </c>
      <c r="H1399">
        <v>0.309145403264381</v>
      </c>
      <c r="I1399">
        <v>0.61718477121900106</v>
      </c>
    </row>
    <row r="1400" spans="1:9" x14ac:dyDescent="0.2">
      <c r="A1400" s="1" t="s">
        <v>1400</v>
      </c>
      <c r="B1400" t="str">
        <f>HYPERLINK("https://www.suredividend.com/sure-analysis-research-database/","Primoris Services Corp")</f>
        <v>Primoris Services Corp</v>
      </c>
      <c r="C1400">
        <v>0.154007805463824</v>
      </c>
      <c r="D1400">
        <v>0.23943625641240601</v>
      </c>
      <c r="E1400">
        <v>0.11148700421867699</v>
      </c>
      <c r="F1400">
        <v>0.15748268593796999</v>
      </c>
      <c r="G1400">
        <v>0.48201266881797511</v>
      </c>
      <c r="H1400">
        <v>0.49159329636686011</v>
      </c>
      <c r="I1400">
        <v>0.86264676096194703</v>
      </c>
    </row>
    <row r="1401" spans="1:9" x14ac:dyDescent="0.2">
      <c r="A1401" s="1" t="s">
        <v>1401</v>
      </c>
      <c r="B1401" t="str">
        <f>HYPERLINK("https://www.suredividend.com/sure-analysis-research-database/","Park National Corp.")</f>
        <v>Park National Corp.</v>
      </c>
      <c r="C1401">
        <v>9.777872333103E-3</v>
      </c>
      <c r="D1401">
        <v>0.141564624406669</v>
      </c>
      <c r="E1401">
        <v>0.26765860215845599</v>
      </c>
      <c r="F1401">
        <v>-1.1807030637044E-2</v>
      </c>
      <c r="G1401">
        <v>6.1882847425283008E-2</v>
      </c>
      <c r="H1401">
        <v>6.0505493927763998E-2</v>
      </c>
      <c r="I1401">
        <v>0.54468149768297702</v>
      </c>
    </row>
    <row r="1402" spans="1:9" x14ac:dyDescent="0.2">
      <c r="A1402" s="1" t="s">
        <v>1402</v>
      </c>
      <c r="B1402" t="str">
        <f>HYPERLINK("https://www.suredividend.com/sure-analysis-research-database/","United Parks &amp; Resorts Inc.")</f>
        <v>United Parks &amp; Resorts Inc.</v>
      </c>
      <c r="C1402">
        <v>-9.7422881686841004E-2</v>
      </c>
      <c r="D1402">
        <v>-7.7245508982034999E-2</v>
      </c>
      <c r="E1402">
        <v>-4.4044665012407003E-2</v>
      </c>
      <c r="F1402">
        <v>-0.12492901760363399</v>
      </c>
      <c r="G1402">
        <v>-0.29581111957349598</v>
      </c>
      <c r="H1402">
        <v>-0.32461650840029199</v>
      </c>
      <c r="I1402">
        <v>0.78081664098613202</v>
      </c>
    </row>
    <row r="1403" spans="1:9" x14ac:dyDescent="0.2">
      <c r="A1403" s="1" t="s">
        <v>1403</v>
      </c>
      <c r="B1403" t="str">
        <f>HYPERLINK("https://www.suredividend.com/sure-analysis-research-database/","Proto Labs Inc")</f>
        <v>Proto Labs Inc</v>
      </c>
      <c r="C1403">
        <v>-3.8759689922479999E-3</v>
      </c>
      <c r="D1403">
        <v>-1.4786418400876E-2</v>
      </c>
      <c r="E1403">
        <v>0.26690140845070398</v>
      </c>
      <c r="F1403">
        <v>-7.6488706365503006E-2</v>
      </c>
      <c r="G1403">
        <v>7.2748956469886009E-2</v>
      </c>
      <c r="H1403">
        <v>-0.35830212234706599</v>
      </c>
      <c r="I1403">
        <v>-0.67699075320944402</v>
      </c>
    </row>
    <row r="1404" spans="1:9" x14ac:dyDescent="0.2">
      <c r="A1404" s="1" t="s">
        <v>1404</v>
      </c>
      <c r="B1404" t="str">
        <f>HYPERLINK("https://www.suredividend.com/sure-analysis-research-database/","Prelude Therapeutics Inc")</f>
        <v>Prelude Therapeutics Inc</v>
      </c>
      <c r="C1404">
        <v>0.28000000000000003</v>
      </c>
      <c r="D1404">
        <v>0.209302325581395</v>
      </c>
      <c r="E1404">
        <v>0.25301204819277101</v>
      </c>
      <c r="F1404">
        <v>-2.5761124121779E-2</v>
      </c>
      <c r="G1404">
        <v>-0.28767123287671198</v>
      </c>
      <c r="H1404">
        <v>-0.58524426719840406</v>
      </c>
      <c r="I1404">
        <v>-0.84122137404580111</v>
      </c>
    </row>
    <row r="1405" spans="1:9" x14ac:dyDescent="0.2">
      <c r="A1405" s="1" t="s">
        <v>1405</v>
      </c>
      <c r="B1405" t="str">
        <f>HYPERLINK("https://www.suredividend.com/sure-analysis-research-database/","Perimeter Solutions SA")</f>
        <v>Perimeter Solutions SA</v>
      </c>
      <c r="C1405">
        <v>0.37837837837837801</v>
      </c>
      <c r="D1405">
        <v>0.36496350364963498</v>
      </c>
      <c r="E1405">
        <v>-1.779359430604E-3</v>
      </c>
      <c r="F1405">
        <v>0.219565217391304</v>
      </c>
      <c r="G1405">
        <v>-0.36177474402730297</v>
      </c>
      <c r="H1405">
        <v>-0.566125290023201</v>
      </c>
      <c r="I1405">
        <v>-0.53249999999999997</v>
      </c>
    </row>
    <row r="1406" spans="1:9" x14ac:dyDescent="0.2">
      <c r="A1406" s="1" t="s">
        <v>1406</v>
      </c>
      <c r="B1406" t="str">
        <f>HYPERLINK("https://www.suredividend.com/sure-analysis-research-database/","Prime Medicine Inc")</f>
        <v>Prime Medicine Inc</v>
      </c>
      <c r="C1406">
        <v>0.235384615384615</v>
      </c>
      <c r="D1406">
        <v>0.15539568345323701</v>
      </c>
      <c r="E1406">
        <v>-0.32690695725062802</v>
      </c>
      <c r="F1406">
        <v>-9.3679458239277008E-2</v>
      </c>
      <c r="G1406">
        <v>-0.57173333333333309</v>
      </c>
      <c r="H1406">
        <v>-0.47755367599219212</v>
      </c>
      <c r="I1406">
        <v>-0.47755367599219212</v>
      </c>
    </row>
    <row r="1407" spans="1:9" x14ac:dyDescent="0.2">
      <c r="A1407" s="1" t="s">
        <v>1407</v>
      </c>
      <c r="B1407" t="str">
        <f>HYPERLINK("https://www.suredividend.com/sure-analysis-research-database/","Primo Water Corporation")</f>
        <v>Primo Water Corporation</v>
      </c>
      <c r="C1407">
        <v>4.7883414295627001E-2</v>
      </c>
      <c r="D1407">
        <v>5.3733426378227013E-2</v>
      </c>
      <c r="E1407">
        <v>3.7491026084179998E-3</v>
      </c>
      <c r="F1407">
        <v>3.3222591362120002E-3</v>
      </c>
      <c r="G1407">
        <v>-5.4281723837737002E-2</v>
      </c>
      <c r="H1407">
        <v>6.7740558992950006E-3</v>
      </c>
      <c r="I1407">
        <v>-1.1993483082842E-2</v>
      </c>
    </row>
    <row r="1408" spans="1:9" x14ac:dyDescent="0.2">
      <c r="A1408" s="1" t="s">
        <v>1408</v>
      </c>
      <c r="B1408" t="str">
        <f>HYPERLINK("https://www.suredividend.com/sure-analysis-research-database/","Pros Holdings Inc")</f>
        <v>Pros Holdings Inc</v>
      </c>
      <c r="C1408">
        <v>5.5991041433370008E-3</v>
      </c>
      <c r="D1408">
        <v>-3.6222162597263012E-2</v>
      </c>
      <c r="E1408">
        <v>2.7166142407778E-2</v>
      </c>
      <c r="F1408">
        <v>-7.3988141273524002E-2</v>
      </c>
      <c r="G1408">
        <v>0.300506879073135</v>
      </c>
      <c r="H1408">
        <v>0.16699155295646501</v>
      </c>
      <c r="I1408">
        <v>-0.102448775612193</v>
      </c>
    </row>
    <row r="1409" spans="1:9" x14ac:dyDescent="0.2">
      <c r="A1409" s="1" t="s">
        <v>1409</v>
      </c>
      <c r="B1409" t="str">
        <f>HYPERLINK("https://www.suredividend.com/sure-analysis-research-database/","ProKidney Corp")</f>
        <v>ProKidney Corp</v>
      </c>
      <c r="C1409">
        <v>0.15384615384615299</v>
      </c>
      <c r="D1409">
        <v>-0.14772727272727201</v>
      </c>
      <c r="E1409">
        <v>-0.84631147540983609</v>
      </c>
      <c r="F1409">
        <v>-0.15730337078651599</v>
      </c>
      <c r="G1409">
        <v>-0.87057808455565111</v>
      </c>
      <c r="H1409">
        <v>-0.82618771726535312</v>
      </c>
      <c r="I1409">
        <v>-0.82618771726535312</v>
      </c>
    </row>
    <row r="1410" spans="1:9" x14ac:dyDescent="0.2">
      <c r="A1410" s="1" t="s">
        <v>1410</v>
      </c>
      <c r="B1410" t="str">
        <f>HYPERLINK("https://www.suredividend.com/sure-analysis-research-database/","Purple Innovation Inc")</f>
        <v>Purple Innovation Inc</v>
      </c>
      <c r="C1410">
        <v>0.89261744966442902</v>
      </c>
      <c r="D1410">
        <v>0.70971262277191705</v>
      </c>
      <c r="E1410">
        <v>-0.39743589743589702</v>
      </c>
      <c r="F1410">
        <v>0.36893203883495101</v>
      </c>
      <c r="G1410">
        <v>-0.68456375838926109</v>
      </c>
      <c r="H1410">
        <v>-0.76539101497504103</v>
      </c>
      <c r="I1410">
        <v>-0.75219683655536007</v>
      </c>
    </row>
    <row r="1411" spans="1:9" x14ac:dyDescent="0.2">
      <c r="A1411" s="1" t="s">
        <v>1411</v>
      </c>
      <c r="B1411" t="str">
        <f>HYPERLINK("https://www.suredividend.com/sure-analysis-research-database/","Presto Automation Inc")</f>
        <v>Presto Automation Inc</v>
      </c>
      <c r="C1411">
        <v>-0.21379310344827501</v>
      </c>
      <c r="D1411">
        <v>-0.7379310344827581</v>
      </c>
      <c r="E1411">
        <v>-0.92941176470588205</v>
      </c>
      <c r="F1411">
        <v>-0.57102539981185307</v>
      </c>
      <c r="G1411">
        <v>-0.93631284916201107</v>
      </c>
      <c r="H1411">
        <v>-0.97738095238095213</v>
      </c>
      <c r="I1411">
        <v>-0.97752033522307102</v>
      </c>
    </row>
    <row r="1412" spans="1:9" x14ac:dyDescent="0.2">
      <c r="A1412" s="1" t="s">
        <v>1412</v>
      </c>
      <c r="B1412" t="str">
        <f>HYPERLINK("https://www.suredividend.com/sure-analysis-research-database/","Prothena Corporation plc")</f>
        <v>Prothena Corporation plc</v>
      </c>
      <c r="C1412">
        <v>-0.16701966717095201</v>
      </c>
      <c r="D1412">
        <v>-0.19266862170087901</v>
      </c>
      <c r="E1412">
        <v>-0.514889867841409</v>
      </c>
      <c r="F1412">
        <v>-0.24243258117776501</v>
      </c>
      <c r="G1412">
        <v>-0.48464994384125698</v>
      </c>
      <c r="H1412">
        <v>-0.18235818235818199</v>
      </c>
      <c r="I1412">
        <v>1.051415797317437</v>
      </c>
    </row>
    <row r="1413" spans="1:9" x14ac:dyDescent="0.2">
      <c r="A1413" s="1" t="s">
        <v>1413</v>
      </c>
      <c r="B1413" t="str">
        <f>HYPERLINK("https://www.suredividend.com/sure-analysis-research-database/","Priority Technology Holdings Inc")</f>
        <v>Priority Technology Holdings Inc</v>
      </c>
      <c r="C1413">
        <v>-0.10704225352112599</v>
      </c>
      <c r="D1413">
        <v>-8.1159420289855011E-2</v>
      </c>
      <c r="E1413">
        <v>-0.21728395061728301</v>
      </c>
      <c r="F1413">
        <v>-0.10955056179775199</v>
      </c>
      <c r="G1413">
        <v>-0.266203703703703</v>
      </c>
      <c r="H1413">
        <v>-0.47078464106844697</v>
      </c>
      <c r="I1413">
        <v>-0.49361022364217211</v>
      </c>
    </row>
    <row r="1414" spans="1:9" x14ac:dyDescent="0.2">
      <c r="A1414" s="1" t="s">
        <v>1414</v>
      </c>
      <c r="B1414" t="str">
        <f>HYPERLINK("https://www.suredividend.com/sure-analysis-research-database/","CarParts.com Inc")</f>
        <v>CarParts.com Inc</v>
      </c>
      <c r="C1414">
        <v>-7.1174377224199004E-2</v>
      </c>
      <c r="D1414">
        <v>-0.201834862385321</v>
      </c>
      <c r="E1414">
        <v>-0.37410071942445999</v>
      </c>
      <c r="F1414">
        <v>-0.174050632911392</v>
      </c>
      <c r="G1414">
        <v>-0.616740088105726</v>
      </c>
      <c r="H1414">
        <v>-0.67293233082706705</v>
      </c>
      <c r="I1414">
        <v>1.4392523364485981</v>
      </c>
    </row>
    <row r="1415" spans="1:9" x14ac:dyDescent="0.2">
      <c r="A1415" s="1" t="s">
        <v>1415</v>
      </c>
      <c r="B1415" t="str">
        <f>HYPERLINK("https://www.suredividend.com/sure-analysis-research-database/","Privia Health Group Inc")</f>
        <v>Privia Health Group Inc</v>
      </c>
      <c r="C1415">
        <v>-7.2011521843490002E-3</v>
      </c>
      <c r="D1415">
        <v>-9.654871122761001E-2</v>
      </c>
      <c r="E1415">
        <v>-0.17740652346857599</v>
      </c>
      <c r="F1415">
        <v>-0.10204081632653</v>
      </c>
      <c r="G1415">
        <v>-0.263532763532763</v>
      </c>
      <c r="H1415">
        <v>-7.3891625615763012E-2</v>
      </c>
      <c r="I1415">
        <v>-0.40489208633093499</v>
      </c>
    </row>
    <row r="1416" spans="1:9" x14ac:dyDescent="0.2">
      <c r="A1416" s="1" t="s">
        <v>1416</v>
      </c>
      <c r="B1416" t="str">
        <f>HYPERLINK("https://www.suredividend.com/sure-analysis-research-database/","Paysafe Limited")</f>
        <v>Paysafe Limited</v>
      </c>
      <c r="C1416">
        <v>-3.8677918424753002E-2</v>
      </c>
      <c r="D1416">
        <v>8.4060269627280013E-2</v>
      </c>
      <c r="E1416">
        <v>0.105092966855295</v>
      </c>
      <c r="F1416">
        <v>6.8803752931978004E-2</v>
      </c>
      <c r="G1416">
        <v>-0.35579641847313798</v>
      </c>
      <c r="H1416">
        <v>-0.64289446185997901</v>
      </c>
      <c r="I1416">
        <v>0.37386934673366801</v>
      </c>
    </row>
    <row r="1417" spans="1:9" x14ac:dyDescent="0.2">
      <c r="A1417" s="1" t="s">
        <v>1417</v>
      </c>
      <c r="B1417" t="str">
        <f>HYPERLINK("https://www.suredividend.com/sure-analysis-research-database/","Pricesmart Inc.")</f>
        <v>Pricesmart Inc.</v>
      </c>
      <c r="C1417">
        <v>5.3566377444628013E-2</v>
      </c>
      <c r="D1417">
        <v>0.201716738197424</v>
      </c>
      <c r="E1417">
        <v>4.4495399681224998E-2</v>
      </c>
      <c r="F1417">
        <v>7.2475103256531004E-2</v>
      </c>
      <c r="G1417">
        <v>0.11966958002603401</v>
      </c>
      <c r="H1417">
        <v>0.16046534544421701</v>
      </c>
      <c r="I1417">
        <v>0.34706188107569802</v>
      </c>
    </row>
    <row r="1418" spans="1:9" x14ac:dyDescent="0.2">
      <c r="A1418" s="1" t="s">
        <v>1418</v>
      </c>
      <c r="B1418" t="str">
        <f>HYPERLINK("https://www.suredividend.com/sure-analysis-research-database/","Parsons Corp")</f>
        <v>Parsons Corp</v>
      </c>
      <c r="C1418">
        <v>0.13457462912503701</v>
      </c>
      <c r="D1418">
        <v>0.19347133757961801</v>
      </c>
      <c r="E1418">
        <v>0.35166816952209201</v>
      </c>
      <c r="F1418">
        <v>0.19518418115133099</v>
      </c>
      <c r="G1418">
        <v>0.67075345519393603</v>
      </c>
      <c r="H1418">
        <v>1.286455155582672</v>
      </c>
      <c r="I1418">
        <v>1.4925174592617221</v>
      </c>
    </row>
    <row r="1419" spans="1:9" x14ac:dyDescent="0.2">
      <c r="A1419" s="1" t="s">
        <v>1419</v>
      </c>
      <c r="B1419" t="str">
        <f>HYPERLINK("https://www.suredividend.com/sure-analysis-PSTL/","Postal Realty Trust Inc")</f>
        <v>Postal Realty Trust Inc</v>
      </c>
      <c r="C1419">
        <v>1.490056736775E-3</v>
      </c>
      <c r="D1419">
        <v>1.4351845133578E-2</v>
      </c>
      <c r="E1419">
        <v>1.3050819208834E-2</v>
      </c>
      <c r="F1419">
        <v>-2.3265562775098999E-2</v>
      </c>
      <c r="G1419">
        <v>-1.7603035733108001E-2</v>
      </c>
      <c r="H1419">
        <v>-9.1706461358542005E-2</v>
      </c>
      <c r="I1419">
        <v>5.3400947910152007E-2</v>
      </c>
    </row>
    <row r="1420" spans="1:9" x14ac:dyDescent="0.2">
      <c r="A1420" s="1" t="s">
        <v>1420</v>
      </c>
      <c r="B1420" t="str">
        <f>HYPERLINK("https://www.suredividend.com/sure-analysis-research-database/","Poseida Therapeutics Inc")</f>
        <v>Poseida Therapeutics Inc</v>
      </c>
      <c r="C1420">
        <v>0.27173913043478198</v>
      </c>
      <c r="D1420">
        <v>0.28336380255941401</v>
      </c>
      <c r="E1420">
        <v>0.42105263157894701</v>
      </c>
      <c r="F1420">
        <v>4.4642857142857012E-2</v>
      </c>
      <c r="G1420">
        <v>-0.49350649350649312</v>
      </c>
      <c r="H1420">
        <v>-0.106870229007633</v>
      </c>
      <c r="I1420">
        <v>-0.77133550488599301</v>
      </c>
    </row>
    <row r="1421" spans="1:9" x14ac:dyDescent="0.2">
      <c r="A1421" s="1" t="s">
        <v>1421</v>
      </c>
      <c r="B1421" t="str">
        <f>HYPERLINK("https://www.suredividend.com/sure-analysis-research-database/","PTC Therapeutics Inc")</f>
        <v>PTC Therapeutics Inc</v>
      </c>
      <c r="C1421">
        <v>-3.9911308203990997E-2</v>
      </c>
      <c r="D1421">
        <v>0.17185385656292201</v>
      </c>
      <c r="E1421">
        <v>-0.34094368340943598</v>
      </c>
      <c r="F1421">
        <v>-5.7329462989840013E-2</v>
      </c>
      <c r="G1421">
        <v>-0.44344473007711999</v>
      </c>
      <c r="H1421">
        <v>-0.33486943164362498</v>
      </c>
      <c r="I1421">
        <v>-0.16543527144233799</v>
      </c>
    </row>
    <row r="1422" spans="1:9" x14ac:dyDescent="0.2">
      <c r="A1422" s="1" t="s">
        <v>1422</v>
      </c>
      <c r="B1422" t="str">
        <f>HYPERLINK("https://www.suredividend.com/sure-analysis-research-database/","Patterson-UTI Energy Inc")</f>
        <v>Patterson-UTI Energy Inc</v>
      </c>
      <c r="C1422">
        <v>0.15430267062314501</v>
      </c>
      <c r="D1422">
        <v>-1.5837676466123E-2</v>
      </c>
      <c r="E1422">
        <v>-0.18979713686666</v>
      </c>
      <c r="F1422">
        <v>8.0555555555555006E-2</v>
      </c>
      <c r="G1422">
        <v>-0.13805201231987299</v>
      </c>
      <c r="H1422">
        <v>-6.4409062484967999E-2</v>
      </c>
      <c r="I1422">
        <v>-9.8612001513899011E-2</v>
      </c>
    </row>
    <row r="1423" spans="1:9" x14ac:dyDescent="0.2">
      <c r="A1423" s="1" t="s">
        <v>1423</v>
      </c>
      <c r="B1423" t="str">
        <f>HYPERLINK("https://www.suredividend.com/sure-analysis-research-database/","Protagonist Therapeutics Inc")</f>
        <v>Protagonist Therapeutics Inc</v>
      </c>
      <c r="C1423">
        <v>9.931368591037501E-2</v>
      </c>
      <c r="D1423">
        <v>0.57946635730858409</v>
      </c>
      <c r="E1423">
        <v>0.42341871406168302</v>
      </c>
      <c r="F1423">
        <v>0.18752725686873001</v>
      </c>
      <c r="G1423">
        <v>0.68398268398268303</v>
      </c>
      <c r="H1423">
        <v>9.5774647887323011E-2</v>
      </c>
      <c r="I1423">
        <v>2.803072625698324</v>
      </c>
    </row>
    <row r="1424" spans="1:9" x14ac:dyDescent="0.2">
      <c r="A1424" s="1" t="s">
        <v>1424</v>
      </c>
      <c r="B1424" t="str">
        <f>HYPERLINK("https://www.suredividend.com/sure-analysis-research-database/","Portillos Inc")</f>
        <v>Portillos Inc</v>
      </c>
      <c r="C1424">
        <v>2.5297619047618999E-2</v>
      </c>
      <c r="D1424">
        <v>-9.0429042904290005E-2</v>
      </c>
      <c r="E1424">
        <v>-0.25108695652173901</v>
      </c>
      <c r="F1424">
        <v>-0.13496547394852401</v>
      </c>
      <c r="G1424">
        <v>-0.41111111111111098</v>
      </c>
      <c r="H1424">
        <v>-0.42222222222222211</v>
      </c>
      <c r="I1424">
        <v>-0.52646048109965604</v>
      </c>
    </row>
    <row r="1425" spans="1:9" x14ac:dyDescent="0.2">
      <c r="A1425" s="1" t="s">
        <v>1425</v>
      </c>
      <c r="B1425" t="str">
        <f>HYPERLINK("https://www.suredividend.com/sure-analysis-research-database/","P.A.M. Transportation Services, Inc.")</f>
        <v>P.A.M. Transportation Services, Inc.</v>
      </c>
      <c r="C1425">
        <v>-8.8888888888888004E-2</v>
      </c>
      <c r="D1425">
        <v>-2.3303987571206001E-2</v>
      </c>
      <c r="E1425">
        <v>-0.15159694107062499</v>
      </c>
      <c r="F1425">
        <v>-9.2396535129932011E-2</v>
      </c>
      <c r="G1425">
        <v>-0.35850340136054398</v>
      </c>
      <c r="H1425">
        <v>-0.48868103565134802</v>
      </c>
      <c r="I1425">
        <v>0.49356563056820402</v>
      </c>
    </row>
    <row r="1426" spans="1:9" x14ac:dyDescent="0.2">
      <c r="A1426" s="1" t="s">
        <v>1426</v>
      </c>
      <c r="B1426" t="str">
        <f>HYPERLINK("https://www.suredividend.com/sure-analysis-research-database/","Pactiv Evergreen Inc")</f>
        <v>Pactiv Evergreen Inc</v>
      </c>
      <c r="C1426">
        <v>-3.4293552812070002E-3</v>
      </c>
      <c r="D1426">
        <v>0.30849032815820698</v>
      </c>
      <c r="E1426">
        <v>0.83756576284904805</v>
      </c>
      <c r="F1426">
        <v>5.9810357403354997E-2</v>
      </c>
      <c r="G1426">
        <v>0.37376144013312101</v>
      </c>
      <c r="H1426">
        <v>0.5318278617665041</v>
      </c>
      <c r="I1426">
        <v>0.51836564083807901</v>
      </c>
    </row>
    <row r="1427" spans="1:9" x14ac:dyDescent="0.2">
      <c r="A1427" s="1" t="s">
        <v>1427</v>
      </c>
      <c r="B1427" t="str">
        <f>HYPERLINK("https://www.suredividend.com/sure-analysis-research-database/","PubMatic Inc")</f>
        <v>PubMatic Inc</v>
      </c>
      <c r="C1427">
        <v>0.103425117528542</v>
      </c>
      <c r="D1427">
        <v>1.4197530864197E-2</v>
      </c>
      <c r="E1427">
        <v>0.33685923515052801</v>
      </c>
      <c r="F1427">
        <v>7.3574494175350008E-3</v>
      </c>
      <c r="G1427">
        <v>-3.2391048292108003E-2</v>
      </c>
      <c r="H1427">
        <v>-0.40384615384615302</v>
      </c>
      <c r="I1427">
        <v>-0.44210526315789411</v>
      </c>
    </row>
    <row r="1428" spans="1:9" x14ac:dyDescent="0.2">
      <c r="A1428" s="1" t="s">
        <v>1428</v>
      </c>
      <c r="B1428" t="str">
        <f>HYPERLINK("https://www.suredividend.com/sure-analysis-research-database/","ProPetro Holding Corp")</f>
        <v>ProPetro Holding Corp</v>
      </c>
      <c r="C1428">
        <v>7.8843626806833003E-2</v>
      </c>
      <c r="D1428">
        <v>-0.120985010706638</v>
      </c>
      <c r="E1428">
        <v>-0.18145563310069701</v>
      </c>
      <c r="F1428">
        <v>-2.0286396181384E-2</v>
      </c>
      <c r="G1428">
        <v>-0.122863247863247</v>
      </c>
      <c r="H1428">
        <v>-0.32649712879409298</v>
      </c>
      <c r="I1428">
        <v>-0.56213333333333304</v>
      </c>
    </row>
    <row r="1429" spans="1:9" x14ac:dyDescent="0.2">
      <c r="A1429" s="1" t="s">
        <v>1429</v>
      </c>
      <c r="B1429" t="str">
        <f>HYPERLINK("https://www.suredividend.com/sure-analysis-research-database/","Penns Woods Bancorp, Inc.")</f>
        <v>Penns Woods Bancorp, Inc.</v>
      </c>
      <c r="C1429">
        <v>-7.3364485981308E-2</v>
      </c>
      <c r="D1429">
        <v>-1.1692234083908E-2</v>
      </c>
      <c r="E1429">
        <v>-0.19658375908046699</v>
      </c>
      <c r="F1429">
        <v>-0.119058196357174</v>
      </c>
      <c r="G1429">
        <v>-0.19861303072185399</v>
      </c>
      <c r="H1429">
        <v>-7.396165089801901E-2</v>
      </c>
      <c r="I1429">
        <v>-6.4754987501768002E-2</v>
      </c>
    </row>
    <row r="1430" spans="1:9" x14ac:dyDescent="0.2">
      <c r="A1430" s="1" t="s">
        <v>1430</v>
      </c>
      <c r="B1430" t="str">
        <f>HYPERLINK("https://www.suredividend.com/sure-analysis-research-database/","Perella Weinberg Partners")</f>
        <v>Perella Weinberg Partners</v>
      </c>
      <c r="C1430">
        <v>0.159394479073909</v>
      </c>
      <c r="D1430">
        <v>0.17913421481615599</v>
      </c>
      <c r="E1430">
        <v>0.26379546314900498</v>
      </c>
      <c r="F1430">
        <v>6.4595257563368008E-2</v>
      </c>
      <c r="G1430">
        <v>0.24387377833825299</v>
      </c>
      <c r="H1430">
        <v>0.26872143671496601</v>
      </c>
      <c r="I1430">
        <v>0.31581606872157603</v>
      </c>
    </row>
    <row r="1431" spans="1:9" x14ac:dyDescent="0.2">
      <c r="A1431" s="1" t="s">
        <v>1431</v>
      </c>
      <c r="B1431" t="str">
        <f>HYPERLINK("https://www.suredividend.com/sure-analysis-research-database/","PowerSchool Holdings Inc")</f>
        <v>PowerSchool Holdings Inc</v>
      </c>
      <c r="C1431">
        <v>-1.4950166112956E-2</v>
      </c>
      <c r="D1431">
        <v>4.8166151126822002E-2</v>
      </c>
      <c r="E1431">
        <v>0.100696055684454</v>
      </c>
      <c r="F1431">
        <v>6.7911714770790008E-3</v>
      </c>
      <c r="G1431">
        <v>1.689189189189E-3</v>
      </c>
      <c r="H1431">
        <v>0.49558638083228201</v>
      </c>
      <c r="I1431">
        <v>0.31777777777777699</v>
      </c>
    </row>
    <row r="1432" spans="1:9" x14ac:dyDescent="0.2">
      <c r="A1432" s="1" t="s">
        <v>1432</v>
      </c>
      <c r="B1432" t="str">
        <f>HYPERLINK("https://www.suredividend.com/sure-analysis-research-database/","P10 Inc")</f>
        <v>P10 Inc</v>
      </c>
      <c r="C1432">
        <v>2.3178807947019001E-2</v>
      </c>
      <c r="D1432">
        <v>-1.4689313577517E-2</v>
      </c>
      <c r="E1432">
        <v>-0.25451153215170302</v>
      </c>
      <c r="F1432">
        <v>-9.2954990215264002E-2</v>
      </c>
      <c r="G1432">
        <v>-0.18384236800168999</v>
      </c>
      <c r="H1432">
        <v>-0.26209542610606001</v>
      </c>
      <c r="I1432">
        <v>-0.2168954593453</v>
      </c>
    </row>
    <row r="1433" spans="1:9" x14ac:dyDescent="0.2">
      <c r="A1433" s="1" t="s">
        <v>1433</v>
      </c>
      <c r="B1433" t="str">
        <f>HYPERLINK("https://www.suredividend.com/sure-analysis-research-database/","Papa John`s International, Inc.")</f>
        <v>Papa John`s International, Inc.</v>
      </c>
      <c r="C1433">
        <v>-3.6288759493602003E-2</v>
      </c>
      <c r="D1433">
        <v>7.5301227516257008E-2</v>
      </c>
      <c r="E1433">
        <v>-3.8607942028126001E-2</v>
      </c>
      <c r="F1433">
        <v>-5.2217691050862013E-2</v>
      </c>
      <c r="G1433">
        <v>-0.21474582967853501</v>
      </c>
      <c r="H1433">
        <v>-0.33211957259396802</v>
      </c>
      <c r="I1433">
        <v>0.82067789949653802</v>
      </c>
    </row>
    <row r="1434" spans="1:9" x14ac:dyDescent="0.2">
      <c r="A1434" s="1" t="s">
        <v>1434</v>
      </c>
      <c r="B1434" t="str">
        <f>HYPERLINK("https://www.suredividend.com/sure-analysis-research-database/","QCR Holding, Inc.")</f>
        <v>QCR Holding, Inc.</v>
      </c>
      <c r="C1434">
        <v>6.9642857142850007E-3</v>
      </c>
      <c r="D1434">
        <v>7.5972554018058011E-2</v>
      </c>
      <c r="E1434">
        <v>0.10102096801591599</v>
      </c>
      <c r="F1434">
        <v>-3.4252440486383998E-2</v>
      </c>
      <c r="G1434">
        <v>6.1968568442263998E-2</v>
      </c>
      <c r="H1434">
        <v>-2.961587764664E-3</v>
      </c>
      <c r="I1434">
        <v>0.612405140023904</v>
      </c>
    </row>
    <row r="1435" spans="1:9" x14ac:dyDescent="0.2">
      <c r="A1435" s="1" t="s">
        <v>1435</v>
      </c>
      <c r="B1435" t="str">
        <f>HYPERLINK("https://www.suredividend.com/sure-analysis-research-database/","Quipt Home Medical Corp")</f>
        <v>Quipt Home Medical Corp</v>
      </c>
      <c r="C1435">
        <v>-2.1834061135371001E-2</v>
      </c>
      <c r="D1435">
        <v>-9.6774193548387011E-2</v>
      </c>
      <c r="E1435">
        <v>-0.16261682242990599</v>
      </c>
      <c r="F1435">
        <v>-0.11984282907662</v>
      </c>
      <c r="G1435">
        <v>-0.27974276527331099</v>
      </c>
      <c r="H1435">
        <v>-0.11984282907662</v>
      </c>
      <c r="I1435">
        <v>-0.37691237830319801</v>
      </c>
    </row>
    <row r="1436" spans="1:9" x14ac:dyDescent="0.2">
      <c r="A1436" s="1" t="s">
        <v>1436</v>
      </c>
      <c r="B1436" t="str">
        <f>HYPERLINK("https://www.suredividend.com/sure-analysis-research-database/","Qualys Inc")</f>
        <v>Qualys Inc</v>
      </c>
      <c r="C1436">
        <v>-0.16484188012425499</v>
      </c>
      <c r="D1436">
        <v>-8.7418618885983013E-2</v>
      </c>
      <c r="E1436">
        <v>0.132753142699267</v>
      </c>
      <c r="F1436">
        <v>-0.16445893621357199</v>
      </c>
      <c r="G1436">
        <v>0.38314919456860902</v>
      </c>
      <c r="H1436">
        <v>0.42857142857142799</v>
      </c>
      <c r="I1436">
        <v>0.95238095238095211</v>
      </c>
    </row>
    <row r="1437" spans="1:9" x14ac:dyDescent="0.2">
      <c r="A1437" s="1" t="s">
        <v>1437</v>
      </c>
      <c r="B1437" t="str">
        <f>HYPERLINK("https://www.suredividend.com/sure-analysis-research-database/","QuinStreet Inc")</f>
        <v>QuinStreet Inc</v>
      </c>
      <c r="C1437">
        <v>0.31525423728813501</v>
      </c>
      <c r="D1437">
        <v>0.40072202166064902</v>
      </c>
      <c r="E1437">
        <v>0.52156862745098009</v>
      </c>
      <c r="F1437">
        <v>0.21060842433697299</v>
      </c>
      <c r="G1437">
        <v>-0.135857461024498</v>
      </c>
      <c r="H1437">
        <v>0.42516069788797001</v>
      </c>
      <c r="I1437">
        <v>0.12626995645863501</v>
      </c>
    </row>
    <row r="1438" spans="1:9" x14ac:dyDescent="0.2">
      <c r="A1438" s="1" t="s">
        <v>1438</v>
      </c>
      <c r="B1438" t="str">
        <f>HYPERLINK("https://www.suredividend.com/sure-analysis-research-database/","Quantum-Si Incorporated")</f>
        <v>Quantum-Si Incorporated</v>
      </c>
      <c r="C1438">
        <v>6.2893081761000004E-3</v>
      </c>
      <c r="D1438">
        <v>1.2658227848101E-2</v>
      </c>
      <c r="E1438">
        <v>-0.18781725888324799</v>
      </c>
      <c r="F1438">
        <v>-0.20398009950248699</v>
      </c>
      <c r="G1438">
        <v>-0.21182266009852199</v>
      </c>
      <c r="H1438">
        <v>-0.63718820861678005</v>
      </c>
      <c r="I1438">
        <v>-0.83805668016194301</v>
      </c>
    </row>
    <row r="1439" spans="1:9" x14ac:dyDescent="0.2">
      <c r="A1439" s="1" t="s">
        <v>1439</v>
      </c>
      <c r="B1439" t="str">
        <f>HYPERLINK("https://www.suredividend.com/sure-analysis-research-database/","Quanterix Corp")</f>
        <v>Quanterix Corp</v>
      </c>
      <c r="C1439">
        <v>0.164359088878963</v>
      </c>
      <c r="D1439">
        <v>0.124676445211389</v>
      </c>
      <c r="E1439">
        <v>6.3647490820073011E-2</v>
      </c>
      <c r="F1439">
        <v>-4.6452084857351E-2</v>
      </c>
      <c r="G1439">
        <v>0.97052154195011309</v>
      </c>
      <c r="H1439">
        <v>-0.10566037735849</v>
      </c>
      <c r="I1439">
        <v>0.117924528301886</v>
      </c>
    </row>
    <row r="1440" spans="1:9" x14ac:dyDescent="0.2">
      <c r="A1440" s="1" t="s">
        <v>1440</v>
      </c>
      <c r="B1440" t="str">
        <f>HYPERLINK("https://www.suredividend.com/sure-analysis-research-database/","Q2 Holdings Inc")</f>
        <v>Q2 Holdings Inc</v>
      </c>
      <c r="C1440">
        <v>-3.1034482758619999E-2</v>
      </c>
      <c r="D1440">
        <v>0.16019818331957</v>
      </c>
      <c r="E1440">
        <v>0.28154454241410698</v>
      </c>
      <c r="F1440">
        <v>-2.9025570145127001E-2</v>
      </c>
      <c r="G1440">
        <v>0.26614598978672199</v>
      </c>
      <c r="H1440">
        <v>-0.32430266110932898</v>
      </c>
      <c r="I1440">
        <v>-0.35491276400367311</v>
      </c>
    </row>
    <row r="1441" spans="1:9" x14ac:dyDescent="0.2">
      <c r="A1441" s="1" t="s">
        <v>1441</v>
      </c>
      <c r="B1441" t="str">
        <f>HYPERLINK("https://www.suredividend.com/sure-analysis-research-database/","Quad/Graphics Inc")</f>
        <v>Quad/Graphics Inc</v>
      </c>
      <c r="C1441">
        <v>0.24376199616122801</v>
      </c>
      <c r="D1441">
        <v>0.28571428571428498</v>
      </c>
      <c r="E1441">
        <v>0.15508021390374299</v>
      </c>
      <c r="F1441">
        <v>0.19557195571955699</v>
      </c>
      <c r="G1441">
        <v>0.52112676056338003</v>
      </c>
      <c r="H1441">
        <v>0.29599999999999999</v>
      </c>
      <c r="I1441">
        <v>-0.53772070626003199</v>
      </c>
    </row>
    <row r="1442" spans="1:9" x14ac:dyDescent="0.2">
      <c r="A1442" s="1" t="s">
        <v>1442</v>
      </c>
      <c r="B1442" t="str">
        <f>HYPERLINK("https://www.suredividend.com/sure-analysis-research-database/","LiveRamp Holdings Inc")</f>
        <v>LiveRamp Holdings Inc</v>
      </c>
      <c r="C1442">
        <v>-9.7101808273470008E-2</v>
      </c>
      <c r="D1442">
        <v>5.4992764109985007E-2</v>
      </c>
      <c r="E1442">
        <v>0.192345436702649</v>
      </c>
      <c r="F1442">
        <v>-3.7750791974656001E-2</v>
      </c>
      <c r="G1442">
        <v>0.44988066825775602</v>
      </c>
      <c r="H1442">
        <v>-9.1022443890274002E-2</v>
      </c>
      <c r="I1442">
        <v>-0.29660362794287898</v>
      </c>
    </row>
    <row r="1443" spans="1:9" x14ac:dyDescent="0.2">
      <c r="A1443" s="1" t="s">
        <v>1443</v>
      </c>
      <c r="B1443" t="str">
        <f>HYPERLINK("https://www.suredividend.com/sure-analysis-research-database/","RAPT Therapeutics Inc")</f>
        <v>RAPT Therapeutics Inc</v>
      </c>
      <c r="C1443">
        <v>-0.71231155778894406</v>
      </c>
      <c r="D1443">
        <v>-0.50681981335247606</v>
      </c>
      <c r="E1443">
        <v>-0.63937007874015706</v>
      </c>
      <c r="F1443">
        <v>-0.72354124748490911</v>
      </c>
      <c r="G1443">
        <v>-0.76774847870182505</v>
      </c>
      <c r="H1443">
        <v>-0.6547738693467331</v>
      </c>
      <c r="I1443">
        <v>-0.47153846153846102</v>
      </c>
    </row>
    <row r="1444" spans="1:9" x14ac:dyDescent="0.2">
      <c r="A1444" s="1" t="s">
        <v>1444</v>
      </c>
      <c r="B1444" t="str">
        <f>HYPERLINK("https://www.suredividend.com/sure-analysis-research-database/","RBB Bancorp")</f>
        <v>RBB Bancorp</v>
      </c>
      <c r="C1444">
        <v>2.7656037479219998E-2</v>
      </c>
      <c r="D1444">
        <v>0.144751495687757</v>
      </c>
      <c r="E1444">
        <v>0.35197137001804601</v>
      </c>
      <c r="F1444">
        <v>-5.5459688750460007E-2</v>
      </c>
      <c r="G1444">
        <v>-3.3684406136759E-2</v>
      </c>
      <c r="H1444">
        <v>-0.226823284514162</v>
      </c>
      <c r="I1444">
        <v>-2.8341860989134E-2</v>
      </c>
    </row>
    <row r="1445" spans="1:9" x14ac:dyDescent="0.2">
      <c r="A1445" s="1" t="s">
        <v>1445</v>
      </c>
      <c r="B1445" t="str">
        <f>HYPERLINK("https://www.suredividend.com/sure-analysis-research-database/","Ribbon Communications Inc")</f>
        <v>Ribbon Communications Inc</v>
      </c>
      <c r="C1445">
        <v>0.124161073825503</v>
      </c>
      <c r="D1445">
        <v>0.58767772511848304</v>
      </c>
      <c r="E1445">
        <v>0.163194444444444</v>
      </c>
      <c r="F1445">
        <v>0.15517241379310301</v>
      </c>
      <c r="G1445">
        <v>-0.25223214285714202</v>
      </c>
      <c r="H1445">
        <v>-3.8737446197991E-2</v>
      </c>
      <c r="I1445">
        <v>-0.44810543657331098</v>
      </c>
    </row>
    <row r="1446" spans="1:9" x14ac:dyDescent="0.2">
      <c r="A1446" s="1" t="s">
        <v>1446</v>
      </c>
      <c r="B1446" t="str">
        <f>HYPERLINK("https://www.suredividend.com/sure-analysis-RBCAA/","Republic Bancorp, Inc. (KY)")</f>
        <v>Republic Bancorp, Inc. (KY)</v>
      </c>
      <c r="C1446">
        <v>-4.1403785488950007E-3</v>
      </c>
      <c r="D1446">
        <v>7.4934718625036006E-2</v>
      </c>
      <c r="E1446">
        <v>0.15470959659462299</v>
      </c>
      <c r="F1446">
        <v>-8.4300217548948009E-2</v>
      </c>
      <c r="G1446">
        <v>0.16476689672984299</v>
      </c>
      <c r="H1446">
        <v>0.15912960863598499</v>
      </c>
      <c r="I1446">
        <v>0.35751835646480801</v>
      </c>
    </row>
    <row r="1447" spans="1:9" x14ac:dyDescent="0.2">
      <c r="A1447" s="1" t="s">
        <v>1447</v>
      </c>
      <c r="B1447" t="str">
        <f>HYPERLINK("https://www.suredividend.com/sure-analysis-research-database/","Vicarious Surgical Inc")</f>
        <v>Vicarious Surgical Inc</v>
      </c>
      <c r="C1447">
        <v>-0.24747366157815501</v>
      </c>
      <c r="D1447">
        <v>-0.15172079495879701</v>
      </c>
      <c r="E1447">
        <v>-0.62096599523500107</v>
      </c>
      <c r="F1447">
        <v>-4.5541314425961002E-2</v>
      </c>
      <c r="G1447">
        <v>-0.88599348534201905</v>
      </c>
      <c r="H1447">
        <v>-0.94345718901453912</v>
      </c>
      <c r="I1447">
        <v>-0.96410256410256412</v>
      </c>
    </row>
    <row r="1448" spans="1:9" x14ac:dyDescent="0.2">
      <c r="A1448" s="1" t="s">
        <v>1448</v>
      </c>
      <c r="B1448" t="str">
        <f>HYPERLINK("https://www.suredividend.com/sure-analysis-research-database/","Ready Capital Corp")</f>
        <v>Ready Capital Corp</v>
      </c>
      <c r="C1448">
        <v>-7.4186991869918006E-2</v>
      </c>
      <c r="D1448">
        <v>-6.9943134832722006E-2</v>
      </c>
      <c r="E1448">
        <v>-6.5267132494023009E-2</v>
      </c>
      <c r="F1448">
        <v>-0.11121951219512199</v>
      </c>
      <c r="G1448">
        <v>-0.20782608695652099</v>
      </c>
      <c r="H1448">
        <v>-0.17580429196974601</v>
      </c>
      <c r="I1448">
        <v>8.3156968587258004E-2</v>
      </c>
    </row>
    <row r="1449" spans="1:9" x14ac:dyDescent="0.2">
      <c r="A1449" s="1" t="s">
        <v>1449</v>
      </c>
      <c r="B1449" t="str">
        <f>HYPERLINK("https://www.suredividend.com/sure-analysis-research-database/","AVITA Medical Inc")</f>
        <v>AVITA Medical Inc</v>
      </c>
      <c r="C1449">
        <v>0.26383896477354402</v>
      </c>
      <c r="D1449">
        <v>0.40191387559808611</v>
      </c>
      <c r="E1449">
        <v>0.109848484848484</v>
      </c>
      <c r="F1449">
        <v>0.28134110787171901</v>
      </c>
      <c r="G1449">
        <v>0.8408376963350781</v>
      </c>
      <c r="H1449">
        <v>0.97528089887640412</v>
      </c>
      <c r="I1449">
        <v>-0.42436149312377203</v>
      </c>
    </row>
    <row r="1450" spans="1:9" x14ac:dyDescent="0.2">
      <c r="A1450" s="1" t="s">
        <v>1450</v>
      </c>
      <c r="B1450" t="str">
        <f>HYPERLINK("https://www.suredividend.com/sure-analysis-research-database/","Rocket Pharmaceuticals Inc")</f>
        <v>Rocket Pharmaceuticals Inc</v>
      </c>
      <c r="C1450">
        <v>7.8313253012048001E-2</v>
      </c>
      <c r="D1450">
        <v>0.30122671512948601</v>
      </c>
      <c r="E1450">
        <v>0.90046449900464509</v>
      </c>
      <c r="F1450">
        <v>-4.4377711044377002E-2</v>
      </c>
      <c r="G1450">
        <v>0.46947152385838897</v>
      </c>
      <c r="H1450">
        <v>0.59199555308504703</v>
      </c>
      <c r="I1450">
        <v>0.93906567366283011</v>
      </c>
    </row>
    <row r="1451" spans="1:9" x14ac:dyDescent="0.2">
      <c r="A1451" s="1" t="s">
        <v>1451</v>
      </c>
      <c r="B1451" t="str">
        <f>HYPERLINK("https://www.suredividend.com/sure-analysis-research-database/","Rocky Brands, Inc")</f>
        <v>Rocky Brands, Inc</v>
      </c>
      <c r="C1451">
        <v>0.14713590415574601</v>
      </c>
      <c r="D1451">
        <v>0.19922191476287501</v>
      </c>
      <c r="E1451">
        <v>0.62082956426980607</v>
      </c>
      <c r="F1451">
        <v>1.5241882041085999E-2</v>
      </c>
      <c r="G1451">
        <v>0.13563920475604499</v>
      </c>
      <c r="H1451">
        <v>-0.190901336966883</v>
      </c>
      <c r="I1451">
        <v>0.24956668909687801</v>
      </c>
    </row>
    <row r="1452" spans="1:9" x14ac:dyDescent="0.2">
      <c r="A1452" s="1" t="s">
        <v>1452</v>
      </c>
      <c r="B1452" t="str">
        <f>HYPERLINK("https://www.suredividend.com/sure-analysis-research-database/","Arcus Biosciences Inc")</f>
        <v>Arcus Biosciences Inc</v>
      </c>
      <c r="C1452">
        <v>8.2138200782268009E-2</v>
      </c>
      <c r="D1452">
        <v>0.18911174785100199</v>
      </c>
      <c r="E1452">
        <v>-0.128151260504201</v>
      </c>
      <c r="F1452">
        <v>-0.13089005235602</v>
      </c>
      <c r="G1452">
        <v>-0.182668636139832</v>
      </c>
      <c r="H1452">
        <v>-0.45555919973761799</v>
      </c>
      <c r="I1452">
        <v>0.43103448275862011</v>
      </c>
    </row>
    <row r="1453" spans="1:9" x14ac:dyDescent="0.2">
      <c r="A1453" s="1" t="s">
        <v>1453</v>
      </c>
      <c r="B1453" t="str">
        <f>HYPERLINK("https://www.suredividend.com/sure-analysis-research-database/","Redfin Corp")</f>
        <v>Redfin Corp</v>
      </c>
      <c r="C1453">
        <v>-0.12452830188679199</v>
      </c>
      <c r="D1453">
        <v>2.8064992614474999E-2</v>
      </c>
      <c r="E1453">
        <v>-0.21621621621621601</v>
      </c>
      <c r="F1453">
        <v>-0.32558139534883701</v>
      </c>
      <c r="G1453">
        <v>-0.17339667458432301</v>
      </c>
      <c r="H1453">
        <v>-0.6955380577427821</v>
      </c>
      <c r="I1453">
        <v>-0.62680965147453005</v>
      </c>
    </row>
    <row r="1454" spans="1:9" x14ac:dyDescent="0.2">
      <c r="A1454" s="1" t="s">
        <v>1454</v>
      </c>
      <c r="B1454" t="str">
        <f>HYPERLINK("https://www.suredividend.com/sure-analysis-research-database/","Radian Group, Inc.")</f>
        <v>Radian Group, Inc.</v>
      </c>
      <c r="C1454">
        <v>-5.5650979045001013E-2</v>
      </c>
      <c r="D1454">
        <v>6.5512135752990003E-2</v>
      </c>
      <c r="E1454">
        <v>4.4643400012160002E-2</v>
      </c>
      <c r="F1454">
        <v>-3.7127845884413001E-2</v>
      </c>
      <c r="G1454">
        <v>0.26746276914564898</v>
      </c>
      <c r="H1454">
        <v>0.25679487589779199</v>
      </c>
      <c r="I1454">
        <v>0.48601823872512712</v>
      </c>
    </row>
    <row r="1455" spans="1:9" x14ac:dyDescent="0.2">
      <c r="A1455" s="1" t="s">
        <v>1455</v>
      </c>
      <c r="B1455" t="str">
        <f>HYPERLINK("https://www.suredividend.com/sure-analysis-research-database/","Radnet Inc")</f>
        <v>Radnet Inc</v>
      </c>
      <c r="C1455">
        <v>-1.852832186342E-3</v>
      </c>
      <c r="D1455">
        <v>0.14899451553930501</v>
      </c>
      <c r="E1455">
        <v>0.26841574167507498</v>
      </c>
      <c r="F1455">
        <v>8.4555651423640008E-2</v>
      </c>
      <c r="G1455">
        <v>0.73618784530386705</v>
      </c>
      <c r="H1455">
        <v>0.56994171523730208</v>
      </c>
      <c r="I1455">
        <v>1.732608695652174</v>
      </c>
    </row>
    <row r="1456" spans="1:9" x14ac:dyDescent="0.2">
      <c r="A1456" s="1" t="s">
        <v>1456</v>
      </c>
      <c r="B1456" t="str">
        <f>HYPERLINK("https://www.suredividend.com/sure-analysis-research-database/","Radius Recycling Inc.")</f>
        <v>Radius Recycling Inc.</v>
      </c>
      <c r="C1456">
        <v>-3.8048065743999E-2</v>
      </c>
      <c r="D1456">
        <v>-3.2733329062840003E-2</v>
      </c>
      <c r="E1456">
        <v>-0.25362990423231302</v>
      </c>
      <c r="F1456">
        <v>-0.18731730617215001</v>
      </c>
      <c r="G1456">
        <v>-0.26890011226740801</v>
      </c>
      <c r="H1456">
        <v>-0.39995728172701001</v>
      </c>
      <c r="I1456">
        <v>0.115301699265544</v>
      </c>
    </row>
    <row r="1457" spans="1:9" x14ac:dyDescent="0.2">
      <c r="A1457" s="1" t="s">
        <v>1457</v>
      </c>
      <c r="B1457" t="str">
        <f>HYPERLINK("https://www.suredividend.com/sure-analysis-research-database/","Red Violet Inc")</f>
        <v>Red Violet Inc</v>
      </c>
      <c r="C1457">
        <v>-5.8761249338274008E-2</v>
      </c>
      <c r="D1457">
        <v>-0.12023750618505601</v>
      </c>
      <c r="E1457">
        <v>-0.165258215962441</v>
      </c>
      <c r="F1457">
        <v>-0.109664496745117</v>
      </c>
      <c r="G1457">
        <v>-0.20269058295964101</v>
      </c>
      <c r="H1457">
        <v>-0.34704370179948502</v>
      </c>
      <c r="I1457">
        <v>1.4157608695652171</v>
      </c>
    </row>
    <row r="1458" spans="1:9" x14ac:dyDescent="0.2">
      <c r="A1458" s="1" t="s">
        <v>1458</v>
      </c>
      <c r="B1458" t="str">
        <f>HYPERLINK("https://www.suredividend.com/sure-analysis-research-database/","Redwire Corporation")</f>
        <v>Redwire Corporation</v>
      </c>
      <c r="C1458">
        <v>7.2992700729926002E-2</v>
      </c>
      <c r="D1458">
        <v>0.17599999999999899</v>
      </c>
      <c r="E1458">
        <v>-8.1250000000000003E-2</v>
      </c>
      <c r="F1458">
        <v>3.1578947368420013E-2</v>
      </c>
      <c r="G1458">
        <v>-0.25569620253164499</v>
      </c>
      <c r="H1458">
        <v>-0.42578125</v>
      </c>
      <c r="I1458">
        <v>-0.75980392156862708</v>
      </c>
    </row>
    <row r="1459" spans="1:9" x14ac:dyDescent="0.2">
      <c r="A1459" s="1" t="s">
        <v>1459</v>
      </c>
      <c r="B1459" t="str">
        <f>HYPERLINK("https://www.suredividend.com/sure-analysis-research-database/","Chicago Atlantic Real Estate Finance Inc")</f>
        <v>Chicago Atlantic Real Estate Finance Inc</v>
      </c>
      <c r="C1459">
        <v>1.5228426395939E-2</v>
      </c>
      <c r="D1459">
        <v>0.10937770844167</v>
      </c>
      <c r="E1459">
        <v>0.19809801939421101</v>
      </c>
      <c r="F1459">
        <v>-1.1124845488257E-2</v>
      </c>
      <c r="G1459">
        <v>0.31682907558598911</v>
      </c>
      <c r="H1459">
        <v>0.19239253562272601</v>
      </c>
      <c r="I1459">
        <v>0.329787234042553</v>
      </c>
    </row>
    <row r="1460" spans="1:9" x14ac:dyDescent="0.2">
      <c r="A1460" s="1" t="s">
        <v>1460</v>
      </c>
      <c r="B1460" t="str">
        <f>HYPERLINK("https://www.suredividend.com/sure-analysis-research-database/","Ring Energy Inc")</f>
        <v>Ring Energy Inc</v>
      </c>
      <c r="C1460">
        <v>4.5454545454544998E-2</v>
      </c>
      <c r="D1460">
        <v>-0.21590909090909</v>
      </c>
      <c r="E1460">
        <v>-0.27748691099476402</v>
      </c>
      <c r="F1460">
        <v>-5.4794520547945001E-2</v>
      </c>
      <c r="G1460">
        <v>-0.34597156398104201</v>
      </c>
      <c r="H1460">
        <v>-0.51748251748251706</v>
      </c>
      <c r="I1460">
        <v>-0.78233438485804407</v>
      </c>
    </row>
    <row r="1461" spans="1:9" x14ac:dyDescent="0.2">
      <c r="A1461" s="1" t="s">
        <v>1461</v>
      </c>
      <c r="B1461" t="str">
        <f>HYPERLINK("https://www.suredividend.com/sure-analysis-research-database/","Richardson Electronics, Ltd.")</f>
        <v>Richardson Electronics, Ltd.</v>
      </c>
      <c r="C1461">
        <v>-9.0705669358611005E-2</v>
      </c>
      <c r="D1461">
        <v>-0.23572759758578801</v>
      </c>
      <c r="E1461">
        <v>-0.22206752523494599</v>
      </c>
      <c r="F1461">
        <v>-0.32160174835522498</v>
      </c>
      <c r="G1461">
        <v>-0.61058477621692209</v>
      </c>
      <c r="H1461">
        <v>-0.21214738307791201</v>
      </c>
      <c r="I1461">
        <v>0.47020128930403798</v>
      </c>
    </row>
    <row r="1462" spans="1:9" x14ac:dyDescent="0.2">
      <c r="A1462" s="1" t="s">
        <v>1462</v>
      </c>
      <c r="B1462" t="str">
        <f>HYPERLINK("https://www.suredividend.com/sure-analysis-research-database/","Remitly Global Inc")</f>
        <v>Remitly Global Inc</v>
      </c>
      <c r="C1462">
        <v>0.11248454882571</v>
      </c>
      <c r="D1462">
        <v>-0.17165209387942901</v>
      </c>
      <c r="E1462">
        <v>-0.24968736973739</v>
      </c>
      <c r="F1462">
        <v>-7.3120494335736003E-2</v>
      </c>
      <c r="G1462">
        <v>0.530612244897959</v>
      </c>
      <c r="H1462">
        <v>0.72248803827751207</v>
      </c>
      <c r="I1462">
        <v>-0.62848297213622306</v>
      </c>
    </row>
    <row r="1463" spans="1:9" x14ac:dyDescent="0.2">
      <c r="A1463" s="1" t="s">
        <v>1463</v>
      </c>
      <c r="B1463" t="str">
        <f>HYPERLINK("https://www.suredividend.com/sure-analysis-research-database/","Rent the Runway Inc")</f>
        <v>Rent the Runway Inc</v>
      </c>
      <c r="C1463">
        <v>-0.189934505342985</v>
      </c>
      <c r="D1463">
        <v>-0.19091065587880801</v>
      </c>
      <c r="E1463">
        <v>-0.65185185185185102</v>
      </c>
      <c r="F1463">
        <v>-0.109004739336492</v>
      </c>
      <c r="G1463">
        <v>-0.87598944591029004</v>
      </c>
      <c r="H1463">
        <v>-0.9154676258992801</v>
      </c>
      <c r="I1463">
        <v>-0.97563504406428203</v>
      </c>
    </row>
    <row r="1464" spans="1:9" x14ac:dyDescent="0.2">
      <c r="A1464" s="1" t="s">
        <v>1464</v>
      </c>
      <c r="B1464" t="str">
        <f>HYPERLINK("https://www.suredividend.com/sure-analysis-research-database/","Replimune Group Inc")</f>
        <v>Replimune Group Inc</v>
      </c>
      <c r="C1464">
        <v>1.7287234042553001E-2</v>
      </c>
      <c r="D1464">
        <v>-0.24852652259332</v>
      </c>
      <c r="E1464">
        <v>-0.60648148148148107</v>
      </c>
      <c r="F1464">
        <v>-9.2526690391459013E-2</v>
      </c>
      <c r="G1464">
        <v>-0.6917808219178081</v>
      </c>
      <c r="H1464">
        <v>-0.52484472049689401</v>
      </c>
      <c r="I1464">
        <v>-0.44605358435915998</v>
      </c>
    </row>
    <row r="1465" spans="1:9" x14ac:dyDescent="0.2">
      <c r="A1465" s="1" t="s">
        <v>1465</v>
      </c>
      <c r="B1465" t="str">
        <f>HYPERLINK("https://www.suredividend.com/sure-analysis-research-database/","Riley Exploration Permian Inc.")</f>
        <v>Riley Exploration Permian Inc.</v>
      </c>
      <c r="C1465">
        <v>0.10570377314934699</v>
      </c>
      <c r="D1465">
        <v>-9.1904524226842005E-2</v>
      </c>
      <c r="E1465">
        <v>-0.268323097546528</v>
      </c>
      <c r="F1465">
        <v>-0.11024001152479899</v>
      </c>
      <c r="G1465">
        <v>-0.181853674860911</v>
      </c>
      <c r="H1465">
        <v>0.106584816166416</v>
      </c>
      <c r="I1465">
        <v>1.083305594390076</v>
      </c>
    </row>
    <row r="1466" spans="1:9" x14ac:dyDescent="0.2">
      <c r="A1466" s="1" t="s">
        <v>1466</v>
      </c>
      <c r="B1466" t="str">
        <f>HYPERLINK("https://www.suredividend.com/sure-analysis-research-database/","RPC, Inc.")</f>
        <v>RPC, Inc.</v>
      </c>
      <c r="C1466">
        <v>0.126572863075683</v>
      </c>
      <c r="D1466">
        <v>-1.0628597868836E-2</v>
      </c>
      <c r="E1466">
        <v>-0.11428954325605201</v>
      </c>
      <c r="F1466">
        <v>4.323980825286E-3</v>
      </c>
      <c r="G1466">
        <v>-0.177182955124214</v>
      </c>
      <c r="H1466">
        <v>-6.0541448601150002E-2</v>
      </c>
      <c r="I1466">
        <v>-0.31998877560564898</v>
      </c>
    </row>
    <row r="1467" spans="1:9" x14ac:dyDescent="0.2">
      <c r="A1467" s="1" t="s">
        <v>1467</v>
      </c>
      <c r="B1467" t="str">
        <f>HYPERLINK("https://www.suredividend.com/sure-analysis-research-database/","REV Group Inc")</f>
        <v>REV Group Inc</v>
      </c>
      <c r="C1467">
        <v>0.29296047331830499</v>
      </c>
      <c r="D1467">
        <v>0.48354123623258211</v>
      </c>
      <c r="E1467">
        <v>0.66880728333901207</v>
      </c>
      <c r="F1467">
        <v>0.24172723608420299</v>
      </c>
      <c r="G1467">
        <v>0.82894132066799409</v>
      </c>
      <c r="H1467">
        <v>0.71377299237326108</v>
      </c>
      <c r="I1467">
        <v>1.579477622018745</v>
      </c>
    </row>
    <row r="1468" spans="1:9" x14ac:dyDescent="0.2">
      <c r="A1468" s="1" t="s">
        <v>1468</v>
      </c>
      <c r="B1468" t="str">
        <f>HYPERLINK("https://www.suredividend.com/sure-analysis-research-database/","REX American Resources Corp")</f>
        <v>REX American Resources Corp</v>
      </c>
      <c r="C1468">
        <v>-4.2179662562699012E-2</v>
      </c>
      <c r="D1468">
        <v>0.12176234979973199</v>
      </c>
      <c r="E1468">
        <v>0.138482384823848</v>
      </c>
      <c r="F1468">
        <v>-0.11183932346723</v>
      </c>
      <c r="G1468">
        <v>0.28628291488058699</v>
      </c>
      <c r="H1468">
        <v>0.47731628494164202</v>
      </c>
      <c r="I1468">
        <v>0.58748153102598599</v>
      </c>
    </row>
    <row r="1469" spans="1:9" x14ac:dyDescent="0.2">
      <c r="A1469" s="1" t="s">
        <v>1469</v>
      </c>
      <c r="B1469" t="str">
        <f>HYPERLINK("https://www.suredividend.com/sure-analysis-research-database/","Resideo Technologies Inc")</f>
        <v>Resideo Technologies Inc</v>
      </c>
      <c r="C1469">
        <v>0.25102639296187601</v>
      </c>
      <c r="D1469">
        <v>0.29351121892055798</v>
      </c>
      <c r="E1469">
        <v>0.32814445828144401</v>
      </c>
      <c r="F1469">
        <v>0.13336875664187001</v>
      </c>
      <c r="G1469">
        <v>7.4018126888217003E-2</v>
      </c>
      <c r="H1469">
        <v>-0.16451233842538199</v>
      </c>
      <c r="I1469">
        <v>-0.16516634050880599</v>
      </c>
    </row>
    <row r="1470" spans="1:9" x14ac:dyDescent="0.2">
      <c r="A1470" s="1" t="s">
        <v>1470</v>
      </c>
      <c r="B1470" t="str">
        <f>HYPERLINK("https://www.suredividend.com/sure-analysis-RGCO/","RGC Resources, Inc.")</f>
        <v>RGC Resources, Inc.</v>
      </c>
      <c r="C1470">
        <v>-8.4166228300890013E-3</v>
      </c>
      <c r="D1470">
        <v>0.14076494795448999</v>
      </c>
      <c r="E1470">
        <v>5.3419842294387003E-2</v>
      </c>
      <c r="F1470">
        <v>-5.3852601779861002E-2</v>
      </c>
      <c r="G1470">
        <v>-0.166478737469544</v>
      </c>
      <c r="H1470">
        <v>-3.2465032721672997E-2</v>
      </c>
      <c r="I1470">
        <v>-0.15882762436856199</v>
      </c>
    </row>
    <row r="1471" spans="1:9" x14ac:dyDescent="0.2">
      <c r="A1471" s="1" t="s">
        <v>1471</v>
      </c>
      <c r="B1471" t="str">
        <f>HYPERLINK("https://www.suredividend.com/sure-analysis-research-database/","Regenxbio Inc")</f>
        <v>Regenxbio Inc</v>
      </c>
      <c r="C1471">
        <v>0.35229759299781099</v>
      </c>
      <c r="D1471">
        <v>-7.4388417373939003E-2</v>
      </c>
      <c r="E1471">
        <v>5.0424929178470003E-2</v>
      </c>
      <c r="F1471">
        <v>3.2869080779944E-2</v>
      </c>
      <c r="G1471">
        <v>-0.16411181244364201</v>
      </c>
      <c r="H1471">
        <v>-0.246953696181965</v>
      </c>
      <c r="I1471">
        <v>-0.59896171317326408</v>
      </c>
    </row>
    <row r="1472" spans="1:9" x14ac:dyDescent="0.2">
      <c r="A1472" s="1" t="s">
        <v>1472</v>
      </c>
      <c r="B1472" t="str">
        <f>HYPERLINK("https://www.suredividend.com/sure-analysis-research-database/","Resources Connection Inc")</f>
        <v>Resources Connection Inc</v>
      </c>
      <c r="C1472">
        <v>1.7148882066548E-2</v>
      </c>
      <c r="D1472">
        <v>-6.251563069403801E-2</v>
      </c>
      <c r="E1472">
        <v>-0.127879923955383</v>
      </c>
      <c r="F1472">
        <v>-5.3916655249248012E-2</v>
      </c>
      <c r="G1472">
        <v>-0.2322322029435</v>
      </c>
      <c r="H1472">
        <v>-0.13074012972643401</v>
      </c>
      <c r="I1472">
        <v>-0.221605201955479</v>
      </c>
    </row>
    <row r="1473" spans="1:9" x14ac:dyDescent="0.2">
      <c r="A1473" s="1" t="s">
        <v>1473</v>
      </c>
      <c r="B1473" t="str">
        <f>HYPERLINK("https://www.suredividend.com/sure-analysis-research-database/","Sturm, Ruger &amp; Co., Inc.")</f>
        <v>Sturm, Ruger &amp; Co., Inc.</v>
      </c>
      <c r="C1473">
        <v>-4.8087932218909999E-3</v>
      </c>
      <c r="D1473">
        <v>-3.5508211273856997E-2</v>
      </c>
      <c r="E1473">
        <v>-0.17436072799118499</v>
      </c>
      <c r="F1473">
        <v>-4.3784378437842997E-2</v>
      </c>
      <c r="G1473">
        <v>-0.225241510369035</v>
      </c>
      <c r="H1473">
        <v>-0.245552911113772</v>
      </c>
      <c r="I1473">
        <v>-7.5295539460581012E-2</v>
      </c>
    </row>
    <row r="1474" spans="1:9" x14ac:dyDescent="0.2">
      <c r="A1474" s="1" t="s">
        <v>1474</v>
      </c>
      <c r="B1474" t="str">
        <f>HYPERLINK("https://www.suredividend.com/sure-analysis-research-database/","Ryman Hospitality Properties Inc")</f>
        <v>Ryman Hospitality Properties Inc</v>
      </c>
      <c r="C1474">
        <v>3.7001145273544013E-2</v>
      </c>
      <c r="D1474">
        <v>0.22002663723097099</v>
      </c>
      <c r="E1474">
        <v>0.42981214811935498</v>
      </c>
      <c r="F1474">
        <v>6.9507541341085999E-2</v>
      </c>
      <c r="G1474">
        <v>0.37735824770917997</v>
      </c>
      <c r="H1474">
        <v>0.34241276198774201</v>
      </c>
      <c r="I1474">
        <v>0.53663191588797199</v>
      </c>
    </row>
    <row r="1475" spans="1:9" x14ac:dyDescent="0.2">
      <c r="A1475" s="1" t="s">
        <v>1475</v>
      </c>
      <c r="B1475" t="str">
        <f>HYPERLINK("https://www.suredividend.com/sure-analysis-research-database/","RCI Hospitality Holdings Inc")</f>
        <v>RCI Hospitality Holdings Inc</v>
      </c>
      <c r="C1475">
        <v>-8.8249555519637007E-2</v>
      </c>
      <c r="D1475">
        <v>-1.6152127542681999E-2</v>
      </c>
      <c r="E1475">
        <v>-0.14017010639270799</v>
      </c>
      <c r="F1475">
        <v>-0.14865680651977001</v>
      </c>
      <c r="G1475">
        <v>-0.31683119154280298</v>
      </c>
      <c r="H1475">
        <v>-0.112249105324616</v>
      </c>
      <c r="I1475">
        <v>1.4290051025900481</v>
      </c>
    </row>
    <row r="1476" spans="1:9" x14ac:dyDescent="0.2">
      <c r="A1476" s="1" t="s">
        <v>1476</v>
      </c>
      <c r="B1476" t="str">
        <f>HYPERLINK("https://www.suredividend.com/sure-analysis-research-database/","Rigel Pharmaceuticals")</f>
        <v>Rigel Pharmaceuticals</v>
      </c>
      <c r="C1476">
        <v>-0.161764705882353</v>
      </c>
      <c r="D1476">
        <v>0.21794871794871701</v>
      </c>
      <c r="E1476">
        <v>0</v>
      </c>
      <c r="F1476">
        <v>-0.21379310344827601</v>
      </c>
      <c r="G1476">
        <v>-0.273885350318471</v>
      </c>
      <c r="H1476">
        <v>-0.52697095435684604</v>
      </c>
      <c r="I1476">
        <v>-0.51489361702127601</v>
      </c>
    </row>
    <row r="1477" spans="1:9" x14ac:dyDescent="0.2">
      <c r="A1477" s="1" t="s">
        <v>1477</v>
      </c>
      <c r="B1477" t="str">
        <f>HYPERLINK("https://www.suredividend.com/sure-analysis-research-database/","B. Riley Financial Inc")</f>
        <v>B. Riley Financial Inc</v>
      </c>
      <c r="C1477">
        <v>-0.207135777998017</v>
      </c>
      <c r="D1477">
        <v>-0.35820296831127102</v>
      </c>
      <c r="E1477">
        <v>-0.64190435265259305</v>
      </c>
      <c r="F1477">
        <v>-0.23773225345402499</v>
      </c>
      <c r="G1477">
        <v>-0.53970477815208706</v>
      </c>
      <c r="H1477">
        <v>-0.66879808896497306</v>
      </c>
      <c r="I1477">
        <v>0.44145442751736502</v>
      </c>
    </row>
    <row r="1478" spans="1:9" x14ac:dyDescent="0.2">
      <c r="A1478" s="1" t="s">
        <v>1478</v>
      </c>
      <c r="B1478" t="str">
        <f>HYPERLINK("https://www.suredividend.com/sure-analysis-research-database/","Riot Platforms Inc")</f>
        <v>Riot Platforms Inc</v>
      </c>
      <c r="C1478">
        <v>0.55879494655004802</v>
      </c>
      <c r="D1478">
        <v>0.41696113074204899</v>
      </c>
      <c r="E1478">
        <v>0.44896115627822902</v>
      </c>
      <c r="F1478">
        <v>3.6845507433742E-2</v>
      </c>
      <c r="G1478">
        <v>1.433990895295902</v>
      </c>
      <c r="H1478">
        <v>-5.4802592810842002E-2</v>
      </c>
      <c r="I1478">
        <v>3.2887700534759352</v>
      </c>
    </row>
    <row r="1479" spans="1:9" x14ac:dyDescent="0.2">
      <c r="A1479" s="1" t="s">
        <v>1479</v>
      </c>
      <c r="B1479" t="str">
        <f>HYPERLINK("https://www.suredividend.com/sure-analysis-research-database/","Rocket Lab USA Inc")</f>
        <v>Rocket Lab USA Inc</v>
      </c>
      <c r="C1479">
        <v>-6.1728395061720004E-3</v>
      </c>
      <c r="D1479">
        <v>0.120649651972157</v>
      </c>
      <c r="E1479">
        <v>-0.17576791808873701</v>
      </c>
      <c r="F1479">
        <v>-0.126582278481012</v>
      </c>
      <c r="G1479">
        <v>-1.6293279022403E-2</v>
      </c>
      <c r="H1479">
        <v>-0.45973154362416102</v>
      </c>
      <c r="I1479">
        <v>-0.53691275167785202</v>
      </c>
    </row>
    <row r="1480" spans="1:9" x14ac:dyDescent="0.2">
      <c r="A1480" s="1" t="s">
        <v>1480</v>
      </c>
      <c r="B1480" t="str">
        <f>HYPERLINK("https://www.suredividend.com/sure-analysis-research-database/","Relay Therapeutics Inc")</f>
        <v>Relay Therapeutics Inc</v>
      </c>
      <c r="C1480">
        <v>5.2062868369351013E-2</v>
      </c>
      <c r="D1480">
        <v>0.27500000000000002</v>
      </c>
      <c r="E1480">
        <v>1.1331444759207001E-2</v>
      </c>
      <c r="F1480">
        <v>-2.7247956403268998E-2</v>
      </c>
      <c r="G1480">
        <v>-0.41951219512195098</v>
      </c>
      <c r="H1480">
        <v>-0.49193548387096703</v>
      </c>
      <c r="I1480">
        <v>-0.69443651925820205</v>
      </c>
    </row>
    <row r="1481" spans="1:9" x14ac:dyDescent="0.2">
      <c r="A1481" s="1" t="s">
        <v>1481</v>
      </c>
      <c r="B1481" t="str">
        <f>HYPERLINK("https://www.suredividend.com/sure-analysis-research-database/","Radiant Logistics, Inc.")</f>
        <v>Radiant Logistics, Inc.</v>
      </c>
      <c r="C1481">
        <v>-8.9171974522293002E-2</v>
      </c>
      <c r="D1481">
        <v>-6.8403908794787999E-2</v>
      </c>
      <c r="E1481">
        <v>-0.15758468335787901</v>
      </c>
      <c r="F1481">
        <v>-0.13855421686746899</v>
      </c>
      <c r="G1481">
        <v>-1.74520069808E-3</v>
      </c>
      <c r="H1481">
        <v>-0.20111731843575401</v>
      </c>
      <c r="I1481">
        <v>-4.6666666666666003E-2</v>
      </c>
    </row>
    <row r="1482" spans="1:9" x14ac:dyDescent="0.2">
      <c r="A1482" s="1" t="s">
        <v>1482</v>
      </c>
      <c r="B1482" t="str">
        <f>HYPERLINK("https://www.suredividend.com/sure-analysis-research-database/","RLJ Lodging Trust")</f>
        <v>RLJ Lodging Trust</v>
      </c>
      <c r="C1482">
        <v>0</v>
      </c>
      <c r="D1482">
        <v>0.12665224705599601</v>
      </c>
      <c r="E1482">
        <v>0.23359331417685</v>
      </c>
      <c r="F1482">
        <v>0</v>
      </c>
      <c r="G1482">
        <v>7.105323280785901E-2</v>
      </c>
      <c r="H1482">
        <v>-0.17422336835133501</v>
      </c>
      <c r="I1482">
        <v>-0.31204508100493</v>
      </c>
    </row>
    <row r="1483" spans="1:9" x14ac:dyDescent="0.2">
      <c r="A1483" s="1" t="s">
        <v>1483</v>
      </c>
      <c r="B1483" t="str">
        <f>HYPERLINK("https://www.suredividend.com/sure-analysis-research-database/","Rallybio Corp")</f>
        <v>Rallybio Corp</v>
      </c>
      <c r="C1483">
        <v>0.27083333333333298</v>
      </c>
      <c r="D1483">
        <v>-0.25306122448979601</v>
      </c>
      <c r="E1483">
        <v>-0.6547169811320751</v>
      </c>
      <c r="F1483">
        <v>-0.23430962343096201</v>
      </c>
      <c r="G1483">
        <v>-0.74042553191489302</v>
      </c>
      <c r="H1483">
        <v>-0.85824941905499608</v>
      </c>
      <c r="I1483">
        <v>-0.87021276595744612</v>
      </c>
    </row>
    <row r="1484" spans="1:9" x14ac:dyDescent="0.2">
      <c r="A1484" s="1" t="s">
        <v>1484</v>
      </c>
      <c r="B1484" t="str">
        <f>HYPERLINK("https://www.suredividend.com/sure-analysis-research-database/","Regional Management Corp")</f>
        <v>Regional Management Corp</v>
      </c>
      <c r="C1484">
        <v>-9.617742560338001E-2</v>
      </c>
      <c r="D1484">
        <v>4.380572803166E-3</v>
      </c>
      <c r="E1484">
        <v>-0.160243874381686</v>
      </c>
      <c r="F1484">
        <v>-8.5726752289723013E-2</v>
      </c>
      <c r="G1484">
        <v>-0.28720817427019901</v>
      </c>
      <c r="H1484">
        <v>-0.53642723259553604</v>
      </c>
      <c r="I1484">
        <v>-8.1227898516891009E-2</v>
      </c>
    </row>
    <row r="1485" spans="1:9" x14ac:dyDescent="0.2">
      <c r="A1485" s="1" t="s">
        <v>1485</v>
      </c>
      <c r="B1485" t="str">
        <f>HYPERLINK("https://www.suredividend.com/sure-analysis-research-database/","RE/MAX Holdings Inc")</f>
        <v>RE/MAX Holdings Inc</v>
      </c>
      <c r="C1485">
        <v>-0.10381978452497501</v>
      </c>
      <c r="D1485">
        <v>-6.4417177914110002E-2</v>
      </c>
      <c r="E1485">
        <v>-0.44376899696048611</v>
      </c>
      <c r="F1485">
        <v>-0.313578394598649</v>
      </c>
      <c r="G1485">
        <v>-0.51883384254560505</v>
      </c>
      <c r="H1485">
        <v>-0.66555917409563903</v>
      </c>
      <c r="I1485">
        <v>-0.73665806128528111</v>
      </c>
    </row>
    <row r="1486" spans="1:9" x14ac:dyDescent="0.2">
      <c r="A1486" s="1" t="s">
        <v>1486</v>
      </c>
      <c r="B1486" t="str">
        <f>HYPERLINK("https://www.suredividend.com/sure-analysis-research-database/","Rambus Inc.")</f>
        <v>Rambus Inc.</v>
      </c>
      <c r="C1486">
        <v>-0.248019666757716</v>
      </c>
      <c r="D1486">
        <v>-0.20913530594656701</v>
      </c>
      <c r="E1486">
        <v>6.3755795981452007E-2</v>
      </c>
      <c r="F1486">
        <v>-0.193260073260073</v>
      </c>
      <c r="G1486">
        <v>0.245419588328432</v>
      </c>
      <c r="H1486">
        <v>1.0590875093492891</v>
      </c>
      <c r="I1486">
        <v>4.2438095238095244</v>
      </c>
    </row>
    <row r="1487" spans="1:9" x14ac:dyDescent="0.2">
      <c r="A1487" s="1" t="s">
        <v>1487</v>
      </c>
      <c r="B1487" t="str">
        <f>HYPERLINK("https://www.suredividend.com/sure-analysis-research-database/","Rimini Street Inc.")</f>
        <v>Rimini Street Inc.</v>
      </c>
      <c r="C1487">
        <v>-2.5236593059935999E-2</v>
      </c>
      <c r="D1487">
        <v>-1.2779552715655E-2</v>
      </c>
      <c r="E1487">
        <v>0.26639344262295001</v>
      </c>
      <c r="F1487">
        <v>-5.5045871559633003E-2</v>
      </c>
      <c r="G1487">
        <v>-0.37067209775967402</v>
      </c>
      <c r="H1487">
        <v>-0.33548387096774201</v>
      </c>
      <c r="I1487">
        <v>-0.47359454855195898</v>
      </c>
    </row>
    <row r="1488" spans="1:9" x14ac:dyDescent="0.2">
      <c r="A1488" s="1" t="s">
        <v>1488</v>
      </c>
      <c r="B1488" t="str">
        <f>HYPERLINK("https://www.suredividend.com/sure-analysis-research-database/","RMR Group Inc (The)")</f>
        <v>RMR Group Inc (The)</v>
      </c>
      <c r="C1488">
        <v>-5.0214091086025002E-2</v>
      </c>
      <c r="D1488">
        <v>4.1920207700814997E-2</v>
      </c>
      <c r="E1488">
        <v>0.14602414165609801</v>
      </c>
      <c r="F1488">
        <v>-0.122321100983432</v>
      </c>
      <c r="G1488">
        <v>-7.7759257369421006E-2</v>
      </c>
      <c r="H1488">
        <v>-1.6021905610691001E-2</v>
      </c>
      <c r="I1488">
        <v>-0.49201061781085698</v>
      </c>
    </row>
    <row r="1489" spans="1:9" x14ac:dyDescent="0.2">
      <c r="A1489" s="1" t="s">
        <v>1489</v>
      </c>
      <c r="B1489" t="str">
        <f>HYPERLINK("https://www.suredividend.com/sure-analysis-research-database/","Avidity Biosciences Inc")</f>
        <v>Avidity Biosciences Inc</v>
      </c>
      <c r="C1489">
        <v>0.37598425196850399</v>
      </c>
      <c r="D1489">
        <v>1.341708542713568</v>
      </c>
      <c r="E1489">
        <v>0.69660194174757206</v>
      </c>
      <c r="F1489">
        <v>0.54475138121546907</v>
      </c>
      <c r="G1489">
        <v>-0.45497076023391803</v>
      </c>
      <c r="H1489">
        <v>-6.3630274614869003E-2</v>
      </c>
      <c r="I1489">
        <v>-0.50947368421052608</v>
      </c>
    </row>
    <row r="1490" spans="1:9" x14ac:dyDescent="0.2">
      <c r="A1490" s="1" t="s">
        <v>1490</v>
      </c>
      <c r="B1490" t="str">
        <f>HYPERLINK("https://www.suredividend.com/sure-analysis-research-database/","Cartesian Therapeutics Inc")</f>
        <v>Cartesian Therapeutics Inc</v>
      </c>
      <c r="C1490">
        <v>-2.7653997378767999E-2</v>
      </c>
      <c r="D1490">
        <v>-0.33758928571428498</v>
      </c>
      <c r="E1490">
        <v>-0.34345132743362811</v>
      </c>
      <c r="F1490">
        <v>7.6153176675369E-2</v>
      </c>
      <c r="G1490">
        <v>-0.57605714285714205</v>
      </c>
      <c r="H1490">
        <v>-0.62340101522842606</v>
      </c>
      <c r="I1490">
        <v>-0.63089552238805902</v>
      </c>
    </row>
    <row r="1491" spans="1:9" x14ac:dyDescent="0.2">
      <c r="A1491" s="1" t="s">
        <v>1491</v>
      </c>
      <c r="B1491" t="str">
        <f>HYPERLINK("https://www.suredividend.com/sure-analysis-research-database/","Ranger Energy Services Inc")</f>
        <v>Ranger Energy Services Inc</v>
      </c>
      <c r="C1491">
        <v>5.2465897166840997E-2</v>
      </c>
      <c r="D1491">
        <v>-2.8100775193798E-2</v>
      </c>
      <c r="E1491">
        <v>-0.21750663129973399</v>
      </c>
      <c r="F1491">
        <v>-1.9550342130987001E-2</v>
      </c>
      <c r="G1491">
        <v>-8.1745690247095007E-2</v>
      </c>
      <c r="H1491">
        <v>2.2134355127996001E-2</v>
      </c>
      <c r="I1491">
        <v>0.31416891590891199</v>
      </c>
    </row>
    <row r="1492" spans="1:9" x14ac:dyDescent="0.2">
      <c r="A1492" s="1" t="s">
        <v>1492</v>
      </c>
      <c r="B1492" t="str">
        <f>HYPERLINK("https://www.suredividend.com/sure-analysis-research-database/","Renasant Corp.")</f>
        <v>Renasant Corp.</v>
      </c>
      <c r="C1492">
        <v>-3.1555695803090001E-3</v>
      </c>
      <c r="D1492">
        <v>0.144316452945011</v>
      </c>
      <c r="E1492">
        <v>9.2414308241347012E-2</v>
      </c>
      <c r="F1492">
        <v>-6.2054631828978003E-2</v>
      </c>
      <c r="G1492">
        <v>-0.11703789833218201</v>
      </c>
      <c r="H1492">
        <v>-7.4065932133341006E-2</v>
      </c>
      <c r="I1492">
        <v>-5.5207127668163998E-2</v>
      </c>
    </row>
    <row r="1493" spans="1:9" x14ac:dyDescent="0.2">
      <c r="A1493" s="1" t="s">
        <v>1493</v>
      </c>
      <c r="B1493" t="str">
        <f>HYPERLINK("https://www.suredividend.com/sure-analysis-research-database/","Construction Partners Inc")</f>
        <v>Construction Partners Inc</v>
      </c>
      <c r="C1493">
        <v>7.3778195488720999E-2</v>
      </c>
      <c r="D1493">
        <v>7.7830188679245002E-2</v>
      </c>
      <c r="E1493">
        <v>0.34332745443856499</v>
      </c>
      <c r="F1493">
        <v>5.0091911764704997E-2</v>
      </c>
      <c r="G1493">
        <v>0.56239316239316206</v>
      </c>
      <c r="H1493">
        <v>0.68946395563770801</v>
      </c>
      <c r="I1493">
        <v>2.8242677824267788</v>
      </c>
    </row>
    <row r="1494" spans="1:9" x14ac:dyDescent="0.2">
      <c r="A1494" s="1" t="s">
        <v>1494</v>
      </c>
      <c r="B1494" t="str">
        <f>HYPERLINK("https://www.suredividend.com/sure-analysis-research-database/","Gibraltar Industries Inc.")</f>
        <v>Gibraltar Industries Inc.</v>
      </c>
      <c r="C1494">
        <v>4.1697236488138001E-2</v>
      </c>
      <c r="D1494">
        <v>0.24473991817650401</v>
      </c>
      <c r="E1494">
        <v>0.20734126984126899</v>
      </c>
      <c r="F1494">
        <v>7.8627500633071001E-2</v>
      </c>
      <c r="G1494">
        <v>0.53440201729106607</v>
      </c>
      <c r="H1494">
        <v>0.66973735789886302</v>
      </c>
      <c r="I1494">
        <v>1.176545733265201</v>
      </c>
    </row>
    <row r="1495" spans="1:9" x14ac:dyDescent="0.2">
      <c r="A1495" s="1" t="s">
        <v>1495</v>
      </c>
      <c r="B1495" t="str">
        <f>HYPERLINK("https://www.suredividend.com/sure-analysis-research-database/","Rogers Corp.")</f>
        <v>Rogers Corp.</v>
      </c>
      <c r="C1495">
        <v>2.151367103797E-2</v>
      </c>
      <c r="D1495">
        <v>-0.100799758563452</v>
      </c>
      <c r="E1495">
        <v>-0.12758948832442699</v>
      </c>
      <c r="F1495">
        <v>-9.7599757704247003E-2</v>
      </c>
      <c r="G1495">
        <v>-0.20002684924150799</v>
      </c>
      <c r="H1495">
        <v>-0.56289884838260107</v>
      </c>
      <c r="I1495">
        <v>-0.12746174683358899</v>
      </c>
    </row>
    <row r="1496" spans="1:9" x14ac:dyDescent="0.2">
      <c r="A1496" s="1" t="s">
        <v>1496</v>
      </c>
      <c r="B1496" t="str">
        <f>HYPERLINK("https://www.suredividend.com/sure-analysis-research-database/","Retail Opportunity Investments Corp")</f>
        <v>Retail Opportunity Investments Corp</v>
      </c>
      <c r="C1496">
        <v>-8.7857142857142009E-2</v>
      </c>
      <c r="D1496">
        <v>6.665552956899401E-2</v>
      </c>
      <c r="E1496">
        <v>-6.5194728407160004E-3</v>
      </c>
      <c r="F1496">
        <v>-8.9807555238774012E-2</v>
      </c>
      <c r="G1496">
        <v>-5.8551186210759998E-2</v>
      </c>
      <c r="H1496">
        <v>-0.20576674295949801</v>
      </c>
      <c r="I1496">
        <v>-9.4506055535071007E-2</v>
      </c>
    </row>
    <row r="1497" spans="1:9" x14ac:dyDescent="0.2">
      <c r="A1497" s="1" t="s">
        <v>1497</v>
      </c>
      <c r="B1497" t="str">
        <f>HYPERLINK("https://www.suredividend.com/sure-analysis-research-database/","Rover Group Inc")</f>
        <v>Rover Group Inc</v>
      </c>
      <c r="C1497">
        <v>3.6563071297989998E-3</v>
      </c>
      <c r="D1497">
        <v>0.30558858501783498</v>
      </c>
      <c r="E1497">
        <v>0.77096774193548301</v>
      </c>
      <c r="F1497">
        <v>9.1911764705880014E-3</v>
      </c>
      <c r="G1497">
        <v>1.7938931297709919</v>
      </c>
      <c r="H1497">
        <v>1.1829025844930421</v>
      </c>
      <c r="I1497">
        <v>-1.818181818181E-3</v>
      </c>
    </row>
    <row r="1498" spans="1:9" x14ac:dyDescent="0.2">
      <c r="A1498" s="1" t="s">
        <v>1498</v>
      </c>
      <c r="B1498" t="str">
        <f>HYPERLINK("https://www.suredividend.com/sure-analysis-research-database/","Repay Holdings Corporation")</f>
        <v>Repay Holdings Corporation</v>
      </c>
      <c r="C1498">
        <v>9.7959183673469008E-2</v>
      </c>
      <c r="D1498">
        <v>0.116182572614107</v>
      </c>
      <c r="E1498">
        <v>-0.13412017167381901</v>
      </c>
      <c r="F1498">
        <v>-5.5035128805619997E-2</v>
      </c>
      <c r="G1498">
        <v>-0.108287292817679</v>
      </c>
      <c r="H1498">
        <v>-0.52276759314015309</v>
      </c>
      <c r="I1498">
        <v>-0.202569169960474</v>
      </c>
    </row>
    <row r="1499" spans="1:9" x14ac:dyDescent="0.2">
      <c r="A1499" s="1" t="s">
        <v>1499</v>
      </c>
      <c r="B1499" t="str">
        <f>HYPERLINK("https://www.suredividend.com/sure-analysis-research-database/","Rapid7 Inc")</f>
        <v>Rapid7 Inc</v>
      </c>
      <c r="C1499">
        <v>8.0520909757886006E-2</v>
      </c>
      <c r="D1499">
        <v>0.124236641221374</v>
      </c>
      <c r="E1499">
        <v>0.29415641476274101</v>
      </c>
      <c r="F1499">
        <v>3.1698774080560002E-2</v>
      </c>
      <c r="G1499">
        <v>0.18531187122736401</v>
      </c>
      <c r="H1499">
        <v>-0.35448170063554602</v>
      </c>
      <c r="I1499">
        <v>0.29729134551860797</v>
      </c>
    </row>
    <row r="1500" spans="1:9" x14ac:dyDescent="0.2">
      <c r="A1500" s="1" t="s">
        <v>1500</v>
      </c>
      <c r="B1500" t="str">
        <f>HYPERLINK("https://www.suredividend.com/sure-analysis-research-database/","Reneo Pharmaceuticals Inc")</f>
        <v>Reneo Pharmaceuticals Inc</v>
      </c>
      <c r="C1500">
        <v>1.863354037267E-2</v>
      </c>
      <c r="D1500">
        <v>-0.73801916932907308</v>
      </c>
      <c r="E1500">
        <v>-0.713286713286713</v>
      </c>
      <c r="F1500">
        <v>2.4999999999998999E-2</v>
      </c>
      <c r="G1500">
        <v>-0.45333333333333298</v>
      </c>
      <c r="H1500">
        <v>-0.67068273092369401</v>
      </c>
      <c r="I1500">
        <v>-0.88192944564434805</v>
      </c>
    </row>
    <row r="1501" spans="1:9" x14ac:dyDescent="0.2">
      <c r="A1501" s="1" t="s">
        <v>1501</v>
      </c>
      <c r="B1501" t="str">
        <f>HYPERLINK("https://www.suredividend.com/sure-analysis-research-database/","Red River Bancshares Inc")</f>
        <v>Red River Bancshares Inc</v>
      </c>
      <c r="C1501">
        <v>-5.3037427120556001E-2</v>
      </c>
      <c r="D1501">
        <v>-1.7721973374120001E-2</v>
      </c>
      <c r="E1501">
        <v>4.7766498940788001E-2</v>
      </c>
      <c r="F1501">
        <v>-0.102655498128675</v>
      </c>
      <c r="G1501">
        <v>-1.594276468162E-3</v>
      </c>
      <c r="H1501">
        <v>-3.1874245213910002E-3</v>
      </c>
      <c r="I1501">
        <v>2.9803979318017999E-2</v>
      </c>
    </row>
    <row r="1502" spans="1:9" x14ac:dyDescent="0.2">
      <c r="A1502" s="1" t="s">
        <v>1502</v>
      </c>
      <c r="B1502" t="str">
        <f>HYPERLINK("https://www.suredividend.com/sure-analysis-research-database/","Red Robin Gourmet Burgers Inc")</f>
        <v>Red Robin Gourmet Burgers Inc</v>
      </c>
      <c r="C1502">
        <v>-0.14921223354958199</v>
      </c>
      <c r="D1502">
        <v>-2.2364217252395999E-2</v>
      </c>
      <c r="E1502">
        <v>-0.15</v>
      </c>
      <c r="F1502">
        <v>-0.26383319967923002</v>
      </c>
      <c r="G1502">
        <v>-4.1753653444676013E-2</v>
      </c>
      <c r="H1502">
        <v>-0.46315789473684199</v>
      </c>
      <c r="I1502">
        <v>-0.71969465648854902</v>
      </c>
    </row>
    <row r="1503" spans="1:9" x14ac:dyDescent="0.2">
      <c r="A1503" s="1" t="s">
        <v>1503</v>
      </c>
      <c r="B1503" t="str">
        <f>HYPERLINK("https://www.suredividend.com/sure-analysis-research-database/","Red Rock Resorts Inc")</f>
        <v>Red Rock Resorts Inc</v>
      </c>
      <c r="C1503">
        <v>7.3504630703547999E-2</v>
      </c>
      <c r="D1503">
        <v>0.29550780933696302</v>
      </c>
      <c r="E1503">
        <v>0.40075945377362898</v>
      </c>
      <c r="F1503">
        <v>8.7191783481536E-2</v>
      </c>
      <c r="G1503">
        <v>0.29575362657552601</v>
      </c>
      <c r="H1503">
        <v>0.24429260271537401</v>
      </c>
      <c r="I1503">
        <v>1.37089146220124</v>
      </c>
    </row>
    <row r="1504" spans="1:9" x14ac:dyDescent="0.2">
      <c r="A1504" s="1" t="s">
        <v>1504</v>
      </c>
      <c r="B1504" t="str">
        <f>HYPERLINK("https://www.suredividend.com/sure-analysis-research-database/","Rush Street Interactive Inc")</f>
        <v>Rush Street Interactive Inc</v>
      </c>
      <c r="C1504">
        <v>0.117764471057884</v>
      </c>
      <c r="D1504">
        <v>0.19658119658119599</v>
      </c>
      <c r="E1504">
        <v>0.39303482587064598</v>
      </c>
      <c r="F1504">
        <v>0.24721603563474301</v>
      </c>
      <c r="G1504">
        <v>0.29330254041570403</v>
      </c>
      <c r="H1504">
        <v>-0.38663745892661511</v>
      </c>
      <c r="I1504">
        <v>-0.41787941787941701</v>
      </c>
    </row>
    <row r="1505" spans="1:9" x14ac:dyDescent="0.2">
      <c r="A1505" s="1" t="s">
        <v>1505</v>
      </c>
      <c r="B1505" t="str">
        <f>HYPERLINK("https://www.suredividend.com/sure-analysis-research-database/","Reservoir Media Inc")</f>
        <v>Reservoir Media Inc</v>
      </c>
      <c r="C1505">
        <v>-1.2693935119887E-2</v>
      </c>
      <c r="D1505">
        <v>0.15702479338842901</v>
      </c>
      <c r="E1505">
        <v>0.31826741996233499</v>
      </c>
      <c r="F1505">
        <v>-1.8232819074332999E-2</v>
      </c>
      <c r="G1505">
        <v>1.4306151645199999E-3</v>
      </c>
      <c r="H1505">
        <v>-8.1364829396325E-2</v>
      </c>
      <c r="I1505">
        <v>-0.30139720558882199</v>
      </c>
    </row>
    <row r="1506" spans="1:9" x14ac:dyDescent="0.2">
      <c r="A1506" s="1" t="s">
        <v>1506</v>
      </c>
      <c r="B1506" t="str">
        <f>HYPERLINK("https://www.suredividend.com/sure-analysis-research-database/","Rush Enterprises Inc")</f>
        <v>Rush Enterprises Inc</v>
      </c>
      <c r="C1506">
        <v>1.3596193065941E-2</v>
      </c>
      <c r="D1506">
        <v>0.14340490797545999</v>
      </c>
      <c r="E1506">
        <v>9.2587843036676012E-2</v>
      </c>
      <c r="F1506">
        <v>-0.11073558648111299</v>
      </c>
      <c r="G1506">
        <v>0.13855904700087801</v>
      </c>
      <c r="H1506">
        <v>0.39225652629973501</v>
      </c>
      <c r="I1506">
        <v>1.5173479207820491</v>
      </c>
    </row>
    <row r="1507" spans="1:9" x14ac:dyDescent="0.2">
      <c r="A1507" s="1" t="s">
        <v>1507</v>
      </c>
      <c r="B1507" t="str">
        <f>HYPERLINK("https://www.suredividend.com/sure-analysis-research-database/","Rush Enterprises Inc")</f>
        <v>Rush Enterprises Inc</v>
      </c>
      <c r="C1507">
        <v>1.524586643762E-2</v>
      </c>
      <c r="D1507">
        <v>7.8713210130048006E-2</v>
      </c>
      <c r="E1507">
        <v>8.3280635671276013E-2</v>
      </c>
      <c r="F1507">
        <v>-0.107587768969422</v>
      </c>
      <c r="G1507">
        <v>0.152400590824668</v>
      </c>
      <c r="H1507">
        <v>0.55059098243450599</v>
      </c>
      <c r="I1507">
        <v>3.0771625432249938</v>
      </c>
    </row>
    <row r="1508" spans="1:9" x14ac:dyDescent="0.2">
      <c r="A1508" s="1" t="s">
        <v>1508</v>
      </c>
      <c r="B1508" t="str">
        <f>HYPERLINK("https://www.suredividend.com/sure-analysis-research-database/","Revolve Group Inc")</f>
        <v>Revolve Group Inc</v>
      </c>
      <c r="C1508">
        <v>0.16620498614958401</v>
      </c>
      <c r="D1508">
        <v>0.13477088948787</v>
      </c>
      <c r="E1508">
        <v>0.114493712772998</v>
      </c>
      <c r="F1508">
        <v>1.5681544028950001E-2</v>
      </c>
      <c r="G1508">
        <v>-0.36548605877920098</v>
      </c>
      <c r="H1508">
        <v>-0.69314868804664709</v>
      </c>
      <c r="I1508">
        <v>-0.504705882352941</v>
      </c>
    </row>
    <row r="1509" spans="1:9" x14ac:dyDescent="0.2">
      <c r="A1509" s="1" t="s">
        <v>1509</v>
      </c>
      <c r="B1509" t="str">
        <f>HYPERLINK("https://www.suredividend.com/sure-analysis-research-database/","Revolution Medicines Inc")</f>
        <v>Revolution Medicines Inc</v>
      </c>
      <c r="C1509">
        <v>8.3178611214259013E-2</v>
      </c>
      <c r="D1509">
        <v>0.34238380119650202</v>
      </c>
      <c r="E1509">
        <v>-1.5192437542201001E-2</v>
      </c>
      <c r="F1509">
        <v>1.7085076708507001E-2</v>
      </c>
      <c r="G1509">
        <v>0.13989839781164501</v>
      </c>
      <c r="H1509">
        <v>0.46730382293762501</v>
      </c>
      <c r="I1509">
        <v>9.3425605536330003E-3</v>
      </c>
    </row>
    <row r="1510" spans="1:9" x14ac:dyDescent="0.2">
      <c r="A1510" s="1" t="s">
        <v>1510</v>
      </c>
      <c r="B1510" t="str">
        <f>HYPERLINK("https://www.suredividend.com/sure-analysis-research-database/","Revance Therapeutics Inc")</f>
        <v>Revance Therapeutics Inc</v>
      </c>
      <c r="C1510">
        <v>-2.6501766784451999E-2</v>
      </c>
      <c r="D1510">
        <v>-0.261888814467515</v>
      </c>
      <c r="E1510">
        <v>-0.68168688619295204</v>
      </c>
      <c r="F1510">
        <v>-0.37315130830489102</v>
      </c>
      <c r="G1510">
        <v>-0.83688573120189402</v>
      </c>
      <c r="H1510">
        <v>-0.57615384615384602</v>
      </c>
      <c r="I1510">
        <v>-0.69337785197551405</v>
      </c>
    </row>
    <row r="1511" spans="1:9" x14ac:dyDescent="0.2">
      <c r="A1511" s="1" t="s">
        <v>1511</v>
      </c>
      <c r="B1511" t="str">
        <f>HYPERLINK("https://www.suredividend.com/sure-analysis-research-database/","Redwood Trust Inc.")</f>
        <v>Redwood Trust Inc.</v>
      </c>
      <c r="C1511">
        <v>-6.1959654178674002E-2</v>
      </c>
      <c r="D1511">
        <v>-2.4762932003056001E-2</v>
      </c>
      <c r="E1511">
        <v>-0.118638560578368</v>
      </c>
      <c r="F1511">
        <v>-0.121457489878542</v>
      </c>
      <c r="G1511">
        <v>-9.3781755919651003E-2</v>
      </c>
      <c r="H1511">
        <v>-0.213853566641307</v>
      </c>
      <c r="I1511">
        <v>-0.34594556579224911</v>
      </c>
    </row>
    <row r="1512" spans="1:9" x14ac:dyDescent="0.2">
      <c r="A1512" s="1" t="s">
        <v>1512</v>
      </c>
      <c r="B1512" t="str">
        <f>HYPERLINK("https://www.suredividend.com/sure-analysis-research-database/","RXO Inc")</f>
        <v>RXO Inc</v>
      </c>
      <c r="C1512">
        <v>-6.0143626570915001E-2</v>
      </c>
      <c r="D1512">
        <v>5.5443548387096003E-2</v>
      </c>
      <c r="E1512">
        <v>8.9490114464100004E-2</v>
      </c>
      <c r="F1512">
        <v>-9.9742046431642015E-2</v>
      </c>
      <c r="G1512">
        <v>-7.5829383886250002E-3</v>
      </c>
      <c r="H1512">
        <v>-2.8571428571420002E-3</v>
      </c>
      <c r="I1512">
        <v>-2.8571428571420002E-3</v>
      </c>
    </row>
    <row r="1513" spans="1:9" x14ac:dyDescent="0.2">
      <c r="A1513" s="1" t="s">
        <v>1513</v>
      </c>
      <c r="B1513" t="str">
        <f>HYPERLINK("https://www.suredividend.com/sure-analysis-research-database/","Recursion Pharmaceuticals Inc")</f>
        <v>Recursion Pharmaceuticals Inc</v>
      </c>
      <c r="C1513">
        <v>0.307372793354101</v>
      </c>
      <c r="D1513">
        <v>0.83527696793002904</v>
      </c>
      <c r="E1513">
        <v>0.46736596736596703</v>
      </c>
      <c r="F1513">
        <v>0.27687626774847801</v>
      </c>
      <c r="G1513">
        <v>0.5757196495619521</v>
      </c>
      <c r="H1513">
        <v>0.234313725490196</v>
      </c>
      <c r="I1513">
        <v>-0.59776357827476001</v>
      </c>
    </row>
    <row r="1514" spans="1:9" x14ac:dyDescent="0.2">
      <c r="A1514" s="1" t="s">
        <v>1514</v>
      </c>
      <c r="B1514" t="str">
        <f>HYPERLINK("https://www.suredividend.com/sure-analysis-research-database/","RxSight Inc")</f>
        <v>RxSight Inc</v>
      </c>
      <c r="C1514">
        <v>0.218729535036018</v>
      </c>
      <c r="D1514">
        <v>0.9776833156216781</v>
      </c>
      <c r="E1514">
        <v>0.86286286286286307</v>
      </c>
      <c r="F1514">
        <v>0.38467261904761901</v>
      </c>
      <c r="G1514">
        <v>3.016546762589928</v>
      </c>
      <c r="H1514">
        <v>3.0991189427312769</v>
      </c>
      <c r="I1514">
        <v>2.4893749999999999</v>
      </c>
    </row>
    <row r="1515" spans="1:9" x14ac:dyDescent="0.2">
      <c r="A1515" s="1" t="s">
        <v>1515</v>
      </c>
      <c r="B1515" t="str">
        <f>HYPERLINK("https://www.suredividend.com/sure-analysis-research-database/","Rackspace Technology Inc")</f>
        <v>Rackspace Technology Inc</v>
      </c>
      <c r="C1515">
        <v>0.12138728323699401</v>
      </c>
      <c r="D1515">
        <v>0.32876712328767099</v>
      </c>
      <c r="E1515">
        <v>-0.139689578713968</v>
      </c>
      <c r="F1515">
        <v>-0.03</v>
      </c>
      <c r="G1515">
        <v>-0.33788395904436802</v>
      </c>
      <c r="H1515">
        <v>-0.83711167086481908</v>
      </c>
      <c r="I1515">
        <v>-0.88163514338010907</v>
      </c>
    </row>
    <row r="1516" spans="1:9" x14ac:dyDescent="0.2">
      <c r="A1516" s="1" t="s">
        <v>1516</v>
      </c>
      <c r="B1516" t="str">
        <f>HYPERLINK("https://www.suredividend.com/sure-analysis-research-database/","Rayonier Advanced Materials Inc")</f>
        <v>Rayonier Advanced Materials Inc</v>
      </c>
      <c r="C1516">
        <v>0.107913669064748</v>
      </c>
      <c r="D1516">
        <v>0.36686390532544311</v>
      </c>
      <c r="E1516">
        <v>0.49514563106796111</v>
      </c>
      <c r="F1516">
        <v>0.14074074074074</v>
      </c>
      <c r="G1516">
        <v>-0.339055793991416</v>
      </c>
      <c r="H1516">
        <v>-0.14602587800369601</v>
      </c>
      <c r="I1516">
        <v>-0.69341234712092903</v>
      </c>
    </row>
    <row r="1517" spans="1:9" x14ac:dyDescent="0.2">
      <c r="A1517" s="1" t="s">
        <v>1517</v>
      </c>
      <c r="B1517" t="str">
        <f>HYPERLINK("https://www.suredividend.com/sure-analysis-research-database/","Ryerson Holding Corp.")</f>
        <v>Ryerson Holding Corp.</v>
      </c>
      <c r="C1517">
        <v>6.842923794712201E-2</v>
      </c>
      <c r="D1517">
        <v>0.17450352863942201</v>
      </c>
      <c r="E1517">
        <v>0.14997941084897601</v>
      </c>
      <c r="F1517">
        <v>-9.5155709342559999E-3</v>
      </c>
      <c r="G1517">
        <v>-0.15786531728986999</v>
      </c>
      <c r="H1517">
        <v>0.44108540790897799</v>
      </c>
      <c r="I1517">
        <v>3.4887291734727208</v>
      </c>
    </row>
    <row r="1518" spans="1:9" x14ac:dyDescent="0.2">
      <c r="A1518" s="1" t="s">
        <v>1518</v>
      </c>
      <c r="B1518" t="str">
        <f>HYPERLINK("https://www.suredividend.com/sure-analysis-research-database/","Rhythm Pharmaceuticals Inc.")</f>
        <v>Rhythm Pharmaceuticals Inc.</v>
      </c>
      <c r="C1518">
        <v>0.196637426900584</v>
      </c>
      <c r="D1518">
        <v>0.47300539892021498</v>
      </c>
      <c r="E1518">
        <v>0.95501592356687803</v>
      </c>
      <c r="F1518">
        <v>6.8305416576027012E-2</v>
      </c>
      <c r="G1518">
        <v>0.84624060150375902</v>
      </c>
      <c r="H1518">
        <v>5.1006211180124206</v>
      </c>
      <c r="I1518">
        <v>0.671545268890401</v>
      </c>
    </row>
    <row r="1519" spans="1:9" x14ac:dyDescent="0.2">
      <c r="A1519" s="1" t="s">
        <v>1519</v>
      </c>
      <c r="B1519" t="str">
        <f>HYPERLINK("https://www.suredividend.com/sure-analysis-research-database/","RayzeBio Inc.")</f>
        <v>RayzeBio Inc.</v>
      </c>
      <c r="C1519">
        <v>9.3684380552410008E-3</v>
      </c>
      <c r="D1519">
        <v>1.681974248927038</v>
      </c>
      <c r="E1519">
        <v>1.60375</v>
      </c>
      <c r="F1519">
        <v>5.147177095061E-3</v>
      </c>
      <c r="G1519">
        <v>1.60375</v>
      </c>
      <c r="H1519">
        <v>1.60375</v>
      </c>
      <c r="I1519">
        <v>1.60375</v>
      </c>
    </row>
    <row r="1520" spans="1:9" x14ac:dyDescent="0.2">
      <c r="A1520" s="1" t="s">
        <v>1520</v>
      </c>
      <c r="B1520" t="str">
        <f>HYPERLINK("https://www.suredividend.com/sure-analysis-research-database/","Sabre Corp")</f>
        <v>Sabre Corp</v>
      </c>
      <c r="C1520">
        <v>-0.36175115207373199</v>
      </c>
      <c r="D1520">
        <v>-0.28238341968911901</v>
      </c>
      <c r="E1520">
        <v>-0.45472440944881798</v>
      </c>
      <c r="F1520">
        <v>-0.37045454545454498</v>
      </c>
      <c r="G1520">
        <v>-0.47932330827067599</v>
      </c>
      <c r="H1520">
        <v>-0.75954861111111105</v>
      </c>
      <c r="I1520">
        <v>-0.86714373417235802</v>
      </c>
    </row>
    <row r="1521" spans="1:9" x14ac:dyDescent="0.2">
      <c r="A1521" s="1" t="s">
        <v>1521</v>
      </c>
      <c r="B1521" t="str">
        <f>HYPERLINK("https://www.suredividend.com/sure-analysis-SAFE/","Safehold Inc.")</f>
        <v>Safehold Inc.</v>
      </c>
      <c r="C1521">
        <v>3.4040453872718E-2</v>
      </c>
      <c r="D1521">
        <v>0.118099231306778</v>
      </c>
      <c r="E1521">
        <v>6.6786103278738004E-2</v>
      </c>
      <c r="F1521">
        <v>-0.104273504273504</v>
      </c>
      <c r="G1521">
        <v>1.431554524361949</v>
      </c>
      <c r="H1521">
        <v>9.5913330823608006E-2</v>
      </c>
      <c r="I1521">
        <v>2.0766520858409421</v>
      </c>
    </row>
    <row r="1522" spans="1:9" x14ac:dyDescent="0.2">
      <c r="A1522" s="1" t="s">
        <v>1522</v>
      </c>
      <c r="B1522" t="str">
        <f>HYPERLINK("https://www.suredividend.com/sure-analysis-SAFT/","Safety Insurance Group, Inc.")</f>
        <v>Safety Insurance Group, Inc.</v>
      </c>
      <c r="C1522">
        <v>9.4062539561969014E-2</v>
      </c>
      <c r="D1522">
        <v>0.165316659497492</v>
      </c>
      <c r="E1522">
        <v>0.29318794321465402</v>
      </c>
      <c r="F1522">
        <v>0.13725490196078399</v>
      </c>
      <c r="G1522">
        <v>7.7263287535308006E-2</v>
      </c>
      <c r="H1522">
        <v>0.150306544315153</v>
      </c>
      <c r="I1522">
        <v>0.191216261852546</v>
      </c>
    </row>
    <row r="1523" spans="1:9" x14ac:dyDescent="0.2">
      <c r="A1523" s="1" t="s">
        <v>1523</v>
      </c>
      <c r="B1523" t="str">
        <f>HYPERLINK("https://www.suredividend.com/sure-analysis-research-database/","Sage Therapeutics Inc")</f>
        <v>Sage Therapeutics Inc</v>
      </c>
      <c r="C1523">
        <v>-0.14763552479815401</v>
      </c>
      <c r="D1523">
        <v>0.124239350912779</v>
      </c>
      <c r="E1523">
        <v>0.11575239053850001</v>
      </c>
      <c r="F1523">
        <v>2.307337332718E-2</v>
      </c>
      <c r="G1523">
        <v>-0.51296133567662505</v>
      </c>
      <c r="H1523">
        <v>-0.35156478502486099</v>
      </c>
      <c r="I1523">
        <v>-0.84985778138967905</v>
      </c>
    </row>
    <row r="1524" spans="1:9" x14ac:dyDescent="0.2">
      <c r="A1524" s="1" t="s">
        <v>1524</v>
      </c>
      <c r="B1524" t="str">
        <f>HYPERLINK("https://www.suredividend.com/sure-analysis-research-database/","Sonic Automotive, Inc.")</f>
        <v>Sonic Automotive, Inc.</v>
      </c>
      <c r="C1524">
        <v>5.3128689492320004E-3</v>
      </c>
      <c r="D1524">
        <v>-2.5065119696202998E-2</v>
      </c>
      <c r="E1524">
        <v>-2.3296549650159998E-3</v>
      </c>
      <c r="F1524">
        <v>-9.1086995196584003E-2</v>
      </c>
      <c r="G1524">
        <v>-0.12887054972036499</v>
      </c>
      <c r="H1524">
        <v>2.4375279452542999E-2</v>
      </c>
      <c r="I1524">
        <v>2.4909940689315881</v>
      </c>
    </row>
    <row r="1525" spans="1:9" x14ac:dyDescent="0.2">
      <c r="A1525" s="1" t="s">
        <v>1525</v>
      </c>
      <c r="B1525" t="str">
        <f>HYPERLINK("https://www.suredividend.com/sure-analysis-research-database/","Silvercrest Asset Management Group Inc")</f>
        <v>Silvercrest Asset Management Group Inc</v>
      </c>
      <c r="C1525">
        <v>-1.3237063778579999E-2</v>
      </c>
      <c r="D1525">
        <v>2.4487756121938001E-2</v>
      </c>
      <c r="E1525">
        <v>-0.11282775334447701</v>
      </c>
      <c r="F1525">
        <v>-3.5294117647057997E-2</v>
      </c>
      <c r="G1525">
        <v>-9.6851646868993002E-2</v>
      </c>
      <c r="H1525">
        <v>9.1114733375469006E-2</v>
      </c>
      <c r="I1525">
        <v>0.43414309949804902</v>
      </c>
    </row>
    <row r="1526" spans="1:9" x14ac:dyDescent="0.2">
      <c r="A1526" s="1" t="s">
        <v>1526</v>
      </c>
      <c r="B1526" t="str">
        <f>HYPERLINK("https://www.suredividend.com/sure-analysis-research-database/","Sana Biotechnology Inc")</f>
        <v>Sana Biotechnology Inc</v>
      </c>
      <c r="C1526">
        <v>0.60869565217391308</v>
      </c>
      <c r="D1526">
        <v>0.89302325581395303</v>
      </c>
      <c r="E1526">
        <v>0.49632352941176411</v>
      </c>
      <c r="F1526">
        <v>0.99509803921568607</v>
      </c>
      <c r="G1526">
        <v>0.85844748858447506</v>
      </c>
      <c r="H1526">
        <v>0.325732899022801</v>
      </c>
      <c r="I1526">
        <v>-0.76809116809116806</v>
      </c>
    </row>
    <row r="1527" spans="1:9" x14ac:dyDescent="0.2">
      <c r="A1527" s="1" t="s">
        <v>1527</v>
      </c>
      <c r="B1527" t="str">
        <f>HYPERLINK("https://www.suredividend.com/sure-analysis-research-database/","Sanmina Corp")</f>
        <v>Sanmina Corp</v>
      </c>
      <c r="C1527">
        <v>0.16816581931951499</v>
      </c>
      <c r="D1527">
        <v>0.190514149063371</v>
      </c>
      <c r="E1527">
        <v>0.105068442471328</v>
      </c>
      <c r="F1527">
        <v>0.162935565505158</v>
      </c>
      <c r="G1527">
        <v>-5.9656855029120007E-2</v>
      </c>
      <c r="H1527">
        <v>0.49536921151439212</v>
      </c>
      <c r="I1527">
        <v>0.84953560371517012</v>
      </c>
    </row>
    <row r="1528" spans="1:9" x14ac:dyDescent="0.2">
      <c r="A1528" s="1" t="s">
        <v>1528</v>
      </c>
      <c r="B1528" t="str">
        <f>HYPERLINK("https://www.suredividend.com/sure-analysis-research-database/","Sandy Spring Bancorp")</f>
        <v>Sandy Spring Bancorp</v>
      </c>
      <c r="C1528">
        <v>-0.11148796630807301</v>
      </c>
      <c r="D1528">
        <v>-1.1565267539016001E-2</v>
      </c>
      <c r="E1528">
        <v>2.9722706060972E-2</v>
      </c>
      <c r="F1528">
        <v>-0.16432961168351101</v>
      </c>
      <c r="G1528">
        <v>-0.27746987006875601</v>
      </c>
      <c r="H1528">
        <v>-0.44816879894974798</v>
      </c>
      <c r="I1528">
        <v>-0.16838431101147899</v>
      </c>
    </row>
    <row r="1529" spans="1:9" x14ac:dyDescent="0.2">
      <c r="A1529" s="1" t="s">
        <v>1529</v>
      </c>
      <c r="B1529" t="str">
        <f>HYPERLINK("https://www.suredividend.com/sure-analysis-research-database/","EchoStar Corp")</f>
        <v>EchoStar Corp</v>
      </c>
      <c r="C1529">
        <v>-0.10403120936280801</v>
      </c>
      <c r="D1529">
        <v>0.29877474081055599</v>
      </c>
      <c r="E1529">
        <v>-0.29837067209775903</v>
      </c>
      <c r="F1529">
        <v>-0.16837658418829199</v>
      </c>
      <c r="G1529">
        <v>-0.24658283214871499</v>
      </c>
      <c r="H1529">
        <v>-0.48331458567678998</v>
      </c>
      <c r="I1529">
        <v>-0.68430698739977003</v>
      </c>
    </row>
    <row r="1530" spans="1:9" x14ac:dyDescent="0.2">
      <c r="A1530" s="1" t="s">
        <v>1530</v>
      </c>
      <c r="B1530" t="str">
        <f>HYPERLINK("https://www.suredividend.com/sure-analysis-research-database/","Cassava Sciences Inc")</f>
        <v>Cassava Sciences Inc</v>
      </c>
      <c r="C1530">
        <v>-0.14854111405835499</v>
      </c>
      <c r="D1530">
        <v>-1.6630196936542E-2</v>
      </c>
      <c r="E1530">
        <v>0.31557377049180302</v>
      </c>
      <c r="F1530">
        <v>-1.7769880053309999E-3</v>
      </c>
      <c r="G1530">
        <v>-0.167777777777777</v>
      </c>
      <c r="H1530">
        <v>-0.50386398763523899</v>
      </c>
      <c r="I1530">
        <v>20</v>
      </c>
    </row>
    <row r="1531" spans="1:9" x14ac:dyDescent="0.2">
      <c r="A1531" s="1" t="s">
        <v>1531</v>
      </c>
      <c r="B1531" t="str">
        <f>HYPERLINK("https://www.suredividend.com/sure-analysis-research-database/","Spirit Airlines Inc")</f>
        <v>Spirit Airlines Inc</v>
      </c>
      <c r="C1531">
        <v>1.81851245681E-4</v>
      </c>
      <c r="D1531">
        <v>-0.48897818865996101</v>
      </c>
      <c r="E1531">
        <v>-0.58603300445955309</v>
      </c>
      <c r="F1531">
        <v>-0.59236361165840001</v>
      </c>
      <c r="G1531">
        <v>-0.62765297257043506</v>
      </c>
      <c r="H1531">
        <v>-0.71031159060882809</v>
      </c>
      <c r="I1531">
        <v>-0.87620465995670904</v>
      </c>
    </row>
    <row r="1532" spans="1:9" x14ac:dyDescent="0.2">
      <c r="A1532" s="1" t="s">
        <v>1532</v>
      </c>
      <c r="B1532" t="str">
        <f>HYPERLINK("https://www.suredividend.com/sure-analysis-research-database/","Safe Bulkers, Inc")</f>
        <v>Safe Bulkers, Inc</v>
      </c>
      <c r="C1532">
        <v>4.9751243781094003E-2</v>
      </c>
      <c r="D1532">
        <v>0.20550762726389701</v>
      </c>
      <c r="E1532">
        <v>0.33320696300508601</v>
      </c>
      <c r="F1532">
        <v>7.3791348600508011E-2</v>
      </c>
      <c r="G1532">
        <v>0.37432423630560702</v>
      </c>
      <c r="H1532">
        <v>9.1736948310653002E-2</v>
      </c>
      <c r="I1532">
        <v>2.1162309850834431</v>
      </c>
    </row>
    <row r="1533" spans="1:9" x14ac:dyDescent="0.2">
      <c r="A1533" s="1" t="s">
        <v>1533</v>
      </c>
      <c r="B1533" t="str">
        <f>HYPERLINK("https://www.suredividend.com/sure-analysis-research-database/","Seacoast Banking Corp. Of Florida")</f>
        <v>Seacoast Banking Corp. Of Florida</v>
      </c>
      <c r="C1533">
        <v>-6.4786585365853008E-2</v>
      </c>
      <c r="D1533">
        <v>5.2943220873504997E-2</v>
      </c>
      <c r="E1533">
        <v>0.105968353260893</v>
      </c>
      <c r="F1533">
        <v>-0.13773717498243099</v>
      </c>
      <c r="G1533">
        <v>-0.19186730026377899</v>
      </c>
      <c r="H1533">
        <v>-0.29129014650713397</v>
      </c>
      <c r="I1533">
        <v>-9.765478493002501E-2</v>
      </c>
    </row>
    <row r="1534" spans="1:9" x14ac:dyDescent="0.2">
      <c r="A1534" s="1" t="s">
        <v>1534</v>
      </c>
      <c r="B1534" t="str">
        <f>HYPERLINK("https://www.suredividend.com/sure-analysis-research-database/","Sinclair Inc")</f>
        <v>Sinclair Inc</v>
      </c>
      <c r="C1534">
        <v>3.3788174139050997E-2</v>
      </c>
      <c r="D1534">
        <v>0.14459608204257501</v>
      </c>
      <c r="E1534">
        <v>0.26254810935206102</v>
      </c>
      <c r="F1534">
        <v>0.22102839600920901</v>
      </c>
      <c r="G1534">
        <v>0.13796482394089099</v>
      </c>
      <c r="H1534">
        <v>0.13796482394089099</v>
      </c>
      <c r="I1534">
        <v>0.13796482394089099</v>
      </c>
    </row>
    <row r="1535" spans="1:9" x14ac:dyDescent="0.2">
      <c r="A1535" s="1" t="s">
        <v>1535</v>
      </c>
      <c r="B1535" t="str">
        <f>HYPERLINK("https://www.suredividend.com/sure-analysis-research-database/","Sally Beauty Holdings Inc")</f>
        <v>Sally Beauty Holdings Inc</v>
      </c>
      <c r="C1535">
        <v>0.15261382799325399</v>
      </c>
      <c r="D1535">
        <v>0.44503171247357198</v>
      </c>
      <c r="E1535">
        <v>0.31695568400770702</v>
      </c>
      <c r="F1535">
        <v>2.9367469879518E-2</v>
      </c>
      <c r="G1535">
        <v>-0.20151869158878499</v>
      </c>
      <c r="H1535">
        <v>-0.24766097963676301</v>
      </c>
      <c r="I1535">
        <v>-0.246416758544652</v>
      </c>
    </row>
    <row r="1536" spans="1:9" x14ac:dyDescent="0.2">
      <c r="A1536" s="1" t="s">
        <v>1536</v>
      </c>
      <c r="B1536" t="str">
        <f>HYPERLINK("https://www.suredividend.com/sure-analysis-research-database/","SilverBow Resources Inc")</f>
        <v>SilverBow Resources Inc</v>
      </c>
      <c r="C1536">
        <v>6.9649805447470001E-2</v>
      </c>
      <c r="D1536">
        <v>-0.15128125964803901</v>
      </c>
      <c r="E1536">
        <v>-0.32852955544699503</v>
      </c>
      <c r="F1536">
        <v>-5.4676753782668001E-2</v>
      </c>
      <c r="G1536">
        <v>0.15649978965082001</v>
      </c>
      <c r="H1536">
        <v>0.145416666666666</v>
      </c>
      <c r="I1536">
        <v>0.19782135076252699</v>
      </c>
    </row>
    <row r="1537" spans="1:9" x14ac:dyDescent="0.2">
      <c r="A1537" s="1" t="s">
        <v>1537</v>
      </c>
      <c r="B1537" t="str">
        <f>HYPERLINK("https://www.suredividend.com/sure-analysis-SBRA/","Sabra Healthcare REIT Inc")</f>
        <v>Sabra Healthcare REIT Inc</v>
      </c>
      <c r="C1537">
        <v>6.557123884238801E-2</v>
      </c>
      <c r="D1537">
        <v>-1.0490237554046E-2</v>
      </c>
      <c r="E1537">
        <v>0.25389570858736799</v>
      </c>
      <c r="F1537">
        <v>1.0308070750849E-2</v>
      </c>
      <c r="G1537">
        <v>0.21473526693367301</v>
      </c>
      <c r="H1537">
        <v>0.27881977907924999</v>
      </c>
      <c r="I1537">
        <v>0.123284549139629</v>
      </c>
    </row>
    <row r="1538" spans="1:9" x14ac:dyDescent="0.2">
      <c r="A1538" s="1" t="s">
        <v>1538</v>
      </c>
      <c r="B1538" t="str">
        <f>HYPERLINK("https://www.suredividend.com/sure-analysis-SBSI/","Southside Bancshares Inc")</f>
        <v>Southside Bancshares Inc</v>
      </c>
      <c r="C1538">
        <v>-1.2578427145068001E-2</v>
      </c>
      <c r="D1538">
        <v>6.6672444174827011E-2</v>
      </c>
      <c r="E1538">
        <v>2.2256602339650001E-3</v>
      </c>
      <c r="F1538">
        <v>-3.3383289376378002E-2</v>
      </c>
      <c r="G1538">
        <v>-0.18223619919773801</v>
      </c>
      <c r="H1538">
        <v>-0.22487332687831699</v>
      </c>
      <c r="I1538">
        <v>2.4019745485681001E-2</v>
      </c>
    </row>
    <row r="1539" spans="1:9" x14ac:dyDescent="0.2">
      <c r="A1539" s="1" t="s">
        <v>1539</v>
      </c>
      <c r="B1539" t="str">
        <f>HYPERLINK("https://www.suredividend.com/sure-analysis-research-database/","Sterling Bancorp Inc")</f>
        <v>Sterling Bancorp Inc</v>
      </c>
      <c r="C1539">
        <v>-5.1660516605165997E-2</v>
      </c>
      <c r="D1539">
        <v>-0.12585034013605401</v>
      </c>
      <c r="E1539">
        <v>-0.161500815660685</v>
      </c>
      <c r="F1539">
        <v>-0.109185441941074</v>
      </c>
      <c r="G1539">
        <v>-0.17628205128205099</v>
      </c>
      <c r="H1539">
        <v>-0.15875613747954101</v>
      </c>
      <c r="I1539">
        <v>-0.50019933684036499</v>
      </c>
    </row>
    <row r="1540" spans="1:9" x14ac:dyDescent="0.2">
      <c r="A1540" s="1" t="s">
        <v>1540</v>
      </c>
      <c r="B1540" t="str">
        <f>HYPERLINK("https://www.suredividend.com/sure-analysis-SCHL/","Scholastic Corp.")</f>
        <v>Scholastic Corp.</v>
      </c>
      <c r="C1540">
        <v>3.3600581746133999E-2</v>
      </c>
      <c r="D1540">
        <v>9.3810947526590006E-3</v>
      </c>
      <c r="E1540">
        <v>-6.8942847852967004E-2</v>
      </c>
      <c r="F1540">
        <v>5.1148010106883003E-2</v>
      </c>
      <c r="G1540">
        <v>-0.113053465489799</v>
      </c>
      <c r="H1540">
        <v>-3.7456510111244998E-2</v>
      </c>
      <c r="I1540">
        <v>2.4758242734221E-2</v>
      </c>
    </row>
    <row r="1541" spans="1:9" x14ac:dyDescent="0.2">
      <c r="A1541" s="1" t="s">
        <v>1541</v>
      </c>
      <c r="B1541" t="str">
        <f>HYPERLINK("https://www.suredividend.com/sure-analysis-SCL/","Stepan Co.")</f>
        <v>Stepan Co.</v>
      </c>
      <c r="C1541">
        <v>3.42087839329E-3</v>
      </c>
      <c r="D1541">
        <v>0.11807061809275</v>
      </c>
      <c r="E1541">
        <v>4.6537724502654997E-2</v>
      </c>
      <c r="F1541">
        <v>-3.8286620835536002E-2</v>
      </c>
      <c r="G1541">
        <v>-0.13503713166783801</v>
      </c>
      <c r="H1541">
        <v>-0.124586385599816</v>
      </c>
      <c r="I1541">
        <v>4.8023761198571012E-2</v>
      </c>
    </row>
    <row r="1542" spans="1:9" x14ac:dyDescent="0.2">
      <c r="A1542" s="1" t="s">
        <v>1542</v>
      </c>
      <c r="B1542" t="str">
        <f>HYPERLINK("https://www.suredividend.com/sure-analysis-research-database/","Scilex Holding Company")</f>
        <v>Scilex Holding Company</v>
      </c>
      <c r="C1542">
        <v>0.21476510067114099</v>
      </c>
      <c r="D1542">
        <v>0.64545454545454506</v>
      </c>
      <c r="E1542">
        <v>-0.49014084507042199</v>
      </c>
      <c r="F1542">
        <v>-0.11274509803921499</v>
      </c>
      <c r="G1542">
        <v>-0.75474254742547409</v>
      </c>
      <c r="H1542">
        <v>-0.82131398390838606</v>
      </c>
      <c r="I1542">
        <v>-0.81624365482233507</v>
      </c>
    </row>
    <row r="1543" spans="1:9" x14ac:dyDescent="0.2">
      <c r="A1543" s="1" t="s">
        <v>1543</v>
      </c>
      <c r="B1543" t="str">
        <f>HYPERLINK("https://www.suredividend.com/sure-analysis-research-database/","scPharmaceuticals Inc")</f>
        <v>scPharmaceuticals Inc</v>
      </c>
      <c r="C1543">
        <v>6.7415730337078011E-2</v>
      </c>
      <c r="D1543">
        <v>1.5138023152269999E-2</v>
      </c>
      <c r="E1543">
        <v>-0.25098554533508499</v>
      </c>
      <c r="F1543">
        <v>-9.090909090909001E-2</v>
      </c>
      <c r="G1543">
        <v>-0.39809926082365299</v>
      </c>
      <c r="H1543">
        <v>0.149193548387096</v>
      </c>
      <c r="I1543">
        <v>0.80952380952380909</v>
      </c>
    </row>
    <row r="1544" spans="1:9" x14ac:dyDescent="0.2">
      <c r="A1544" s="1" t="s">
        <v>1544</v>
      </c>
      <c r="B1544" t="str">
        <f>HYPERLINK("https://www.suredividend.com/sure-analysis-research-database/","Steelcase, Inc.")</f>
        <v>Steelcase, Inc.</v>
      </c>
      <c r="C1544">
        <v>1.7585931254995E-2</v>
      </c>
      <c r="D1544">
        <v>5.0494714517951997E-2</v>
      </c>
      <c r="E1544">
        <v>0.50144483104322601</v>
      </c>
      <c r="F1544">
        <v>-5.1288548389499998E-2</v>
      </c>
      <c r="G1544">
        <v>0.68537838267224405</v>
      </c>
      <c r="H1544">
        <v>0.105255389530896</v>
      </c>
      <c r="I1544">
        <v>-0.107581004724983</v>
      </c>
    </row>
    <row r="1545" spans="1:9" x14ac:dyDescent="0.2">
      <c r="A1545" s="1" t="s">
        <v>1545</v>
      </c>
      <c r="B1545" t="str">
        <f>HYPERLINK("https://www.suredividend.com/sure-analysis-research-database/","Scansource, Inc.")</f>
        <v>Scansource, Inc.</v>
      </c>
      <c r="C1545">
        <v>7.0636762052075003E-2</v>
      </c>
      <c r="D1545">
        <v>0.27119681665136203</v>
      </c>
      <c r="E1545">
        <v>0.45515066573230512</v>
      </c>
      <c r="F1545">
        <v>4.8472607927291002E-2</v>
      </c>
      <c r="G1545">
        <v>0.29781249999999998</v>
      </c>
      <c r="H1545">
        <v>0.35586026771139401</v>
      </c>
      <c r="I1545">
        <v>3.8769384692345997E-2</v>
      </c>
    </row>
    <row r="1546" spans="1:9" x14ac:dyDescent="0.2">
      <c r="A1546" s="1" t="s">
        <v>1546</v>
      </c>
      <c r="B1546" t="str">
        <f>HYPERLINK("https://www.suredividend.com/sure-analysis-research-database/","Shoe Carnival, Inc.")</f>
        <v>Shoe Carnival, Inc.</v>
      </c>
      <c r="C1546">
        <v>0.155616224648985</v>
      </c>
      <c r="D1546">
        <v>0.26474756270381899</v>
      </c>
      <c r="E1546">
        <v>0.23159159209087901</v>
      </c>
      <c r="F1546">
        <v>-1.0724111220919E-2</v>
      </c>
      <c r="G1546">
        <v>6.9466602178636011E-2</v>
      </c>
      <c r="H1546">
        <v>7.3263186523650006E-3</v>
      </c>
      <c r="I1546">
        <v>0.7128652773361851</v>
      </c>
    </row>
    <row r="1547" spans="1:9" x14ac:dyDescent="0.2">
      <c r="A1547" s="1" t="s">
        <v>1547</v>
      </c>
      <c r="B1547" t="str">
        <f>HYPERLINK("https://www.suredividend.com/sure-analysis-research-database/","374Water Inc")</f>
        <v>374Water Inc</v>
      </c>
      <c r="C1547">
        <v>-7.9365079365079E-2</v>
      </c>
      <c r="D1547">
        <v>-4.1322314049586001E-2</v>
      </c>
      <c r="E1547">
        <v>-0.321637426900584</v>
      </c>
      <c r="F1547">
        <v>-0.183098591549295</v>
      </c>
      <c r="G1547">
        <v>-0.64741641337386002</v>
      </c>
      <c r="H1547">
        <v>6.1604938271604928</v>
      </c>
      <c r="I1547">
        <v>6.1604938271604928</v>
      </c>
    </row>
    <row r="1548" spans="1:9" x14ac:dyDescent="0.2">
      <c r="A1548" s="1" t="s">
        <v>1548</v>
      </c>
      <c r="B1548" t="str">
        <f>HYPERLINK("https://www.suredividend.com/sure-analysis-research-database/","Sandridge Energy Inc")</f>
        <v>Sandridge Energy Inc</v>
      </c>
      <c r="C1548">
        <v>1.6190990190160001E-3</v>
      </c>
      <c r="D1548">
        <v>-3.5448417126521997E-2</v>
      </c>
      <c r="E1548">
        <v>-0.114236783739015</v>
      </c>
      <c r="F1548">
        <v>2.9464547916598E-2</v>
      </c>
      <c r="G1548">
        <v>0.101673461192635</v>
      </c>
      <c r="H1548">
        <v>0.36748802635285899</v>
      </c>
      <c r="I1548">
        <v>0.92527727349006006</v>
      </c>
    </row>
    <row r="1549" spans="1:9" x14ac:dyDescent="0.2">
      <c r="A1549" s="1" t="s">
        <v>1549</v>
      </c>
      <c r="B1549" t="str">
        <f>HYPERLINK("https://www.suredividend.com/sure-analysis-research-database/","Schrodinger Inc")</f>
        <v>Schrodinger Inc</v>
      </c>
      <c r="C1549">
        <v>0.17247915087187199</v>
      </c>
      <c r="D1549">
        <v>1.4098360655737E-2</v>
      </c>
      <c r="E1549">
        <v>-8.5181898846495005E-2</v>
      </c>
      <c r="F1549">
        <v>-0.136033519553072</v>
      </c>
      <c r="G1549">
        <v>0.29957983193277299</v>
      </c>
      <c r="H1549">
        <v>0.20163170163170099</v>
      </c>
      <c r="I1549">
        <v>15.452127659574471</v>
      </c>
    </row>
    <row r="1550" spans="1:9" x14ac:dyDescent="0.2">
      <c r="A1550" s="1" t="s">
        <v>1550</v>
      </c>
      <c r="B1550" t="str">
        <f>HYPERLINK("https://www.suredividend.com/sure-analysis-research-database/","Seadrill Ltd.")</f>
        <v>Seadrill Ltd.</v>
      </c>
      <c r="C1550">
        <v>-9.1349328637464006E-2</v>
      </c>
      <c r="D1550">
        <v>-3.438596491228E-2</v>
      </c>
      <c r="E1550">
        <v>-0.175224775224775</v>
      </c>
      <c r="F1550">
        <v>-0.12690355329949199</v>
      </c>
      <c r="G1550">
        <v>-5.3012048192770007E-3</v>
      </c>
      <c r="H1550">
        <v>0.55773584905660301</v>
      </c>
      <c r="I1550">
        <v>0.55773584905660301</v>
      </c>
    </row>
    <row r="1551" spans="1:9" x14ac:dyDescent="0.2">
      <c r="A1551" s="1" t="s">
        <v>1551</v>
      </c>
      <c r="B1551" t="str">
        <f>HYPERLINK("https://www.suredividend.com/sure-analysis-research-database/","Vivid Seats Inc")</f>
        <v>Vivid Seats Inc</v>
      </c>
      <c r="C1551">
        <v>9.598603839441501E-2</v>
      </c>
      <c r="D1551">
        <v>-0.18547341115434501</v>
      </c>
      <c r="E1551">
        <v>-0.13972602739726001</v>
      </c>
      <c r="F1551">
        <v>-6.3291139240500014E-3</v>
      </c>
      <c r="G1551">
        <v>-0.23414634146341401</v>
      </c>
      <c r="H1551">
        <v>-0.44718309859154898</v>
      </c>
      <c r="I1551">
        <v>-0.372</v>
      </c>
    </row>
    <row r="1552" spans="1:9" x14ac:dyDescent="0.2">
      <c r="A1552" s="1" t="s">
        <v>1552</v>
      </c>
      <c r="B1552" t="str">
        <f>HYPERLINK("https://www.suredividend.com/sure-analysis-research-database/","Seer Inc")</f>
        <v>Seer Inc</v>
      </c>
      <c r="C1552">
        <v>-2.4844720496893999E-2</v>
      </c>
      <c r="D1552">
        <v>-0.10285714285714199</v>
      </c>
      <c r="E1552">
        <v>-0.372</v>
      </c>
      <c r="F1552">
        <v>-0.19072164948453599</v>
      </c>
      <c r="G1552">
        <v>-0.64639639639639601</v>
      </c>
      <c r="H1552">
        <v>-0.87734374999999998</v>
      </c>
      <c r="I1552">
        <v>-0.97219270279844106</v>
      </c>
    </row>
    <row r="1553" spans="1:9" x14ac:dyDescent="0.2">
      <c r="A1553" s="1" t="s">
        <v>1553</v>
      </c>
      <c r="B1553" t="str">
        <f>HYPERLINK("https://www.suredividend.com/sure-analysis-research-database/","Select Medical Holdings Corporation")</f>
        <v>Select Medical Holdings Corporation</v>
      </c>
      <c r="C1553">
        <v>4.107542942494E-3</v>
      </c>
      <c r="D1553">
        <v>0.150620453572956</v>
      </c>
      <c r="E1553">
        <v>-4.3686696255832012E-2</v>
      </c>
      <c r="F1553">
        <v>0.144255319148936</v>
      </c>
      <c r="G1553">
        <v>-9.0524749293964007E-2</v>
      </c>
      <c r="H1553">
        <v>0.20001785076758199</v>
      </c>
      <c r="I1553">
        <v>0.81004308023694105</v>
      </c>
    </row>
    <row r="1554" spans="1:9" x14ac:dyDescent="0.2">
      <c r="A1554" s="1" t="s">
        <v>1554</v>
      </c>
      <c r="B1554" t="str">
        <f>HYPERLINK("https://www.suredividend.com/sure-analysis-research-database/","SEMrush Holdings Inc")</f>
        <v>SEMrush Holdings Inc</v>
      </c>
      <c r="C1554">
        <v>8.3546462063086011E-2</v>
      </c>
      <c r="D1554">
        <v>0.303589743589743</v>
      </c>
      <c r="E1554">
        <v>0.49178403755868499</v>
      </c>
      <c r="F1554">
        <v>-6.9546120058565003E-2</v>
      </c>
      <c r="G1554">
        <v>0.40597345132743301</v>
      </c>
      <c r="H1554">
        <v>-0.17999999999999899</v>
      </c>
      <c r="I1554">
        <v>0.13279857397504399</v>
      </c>
    </row>
    <row r="1555" spans="1:9" x14ac:dyDescent="0.2">
      <c r="A1555" s="1" t="s">
        <v>1555</v>
      </c>
      <c r="B1555" t="str">
        <f>HYPERLINK("https://www.suredividend.com/sure-analysis-research-database/","Seneca Foods Corp.")</f>
        <v>Seneca Foods Corp.</v>
      </c>
      <c r="C1555">
        <v>-0.120351336198841</v>
      </c>
      <c r="D1555">
        <v>-2.3443983402488999E-2</v>
      </c>
      <c r="E1555">
        <v>-5.1390568319225997E-2</v>
      </c>
      <c r="F1555">
        <v>-0.102402745995423</v>
      </c>
      <c r="G1555">
        <v>-0.16409163558870499</v>
      </c>
      <c r="H1555">
        <v>-5.7091346153846013E-2</v>
      </c>
      <c r="I1555">
        <v>0.564307078763708</v>
      </c>
    </row>
    <row r="1556" spans="1:9" x14ac:dyDescent="0.2">
      <c r="A1556" s="1" t="s">
        <v>1556</v>
      </c>
      <c r="B1556" t="str">
        <f>HYPERLINK("https://www.suredividend.com/sure-analysis-research-database/","SES AI Corporation")</f>
        <v>SES AI Corporation</v>
      </c>
      <c r="C1556">
        <v>-4.7619047619047013E-2</v>
      </c>
      <c r="D1556">
        <v>-0.44881889763779498</v>
      </c>
      <c r="E1556">
        <v>-0.33014354066985602</v>
      </c>
      <c r="F1556">
        <v>-0.23497267759562801</v>
      </c>
      <c r="G1556">
        <v>-0.580838323353293</v>
      </c>
      <c r="H1556">
        <v>-0.71717171717171702</v>
      </c>
      <c r="I1556">
        <v>-0.86976744186046506</v>
      </c>
    </row>
    <row r="1557" spans="1:9" x14ac:dyDescent="0.2">
      <c r="A1557" s="1" t="s">
        <v>1557</v>
      </c>
      <c r="B1557" t="str">
        <f>HYPERLINK("https://www.suredividend.com/sure-analysis-research-database/","ServisFirst Bancshares Inc")</f>
        <v>ServisFirst Bancshares Inc</v>
      </c>
      <c r="C1557">
        <v>-4.3956043956040001E-3</v>
      </c>
      <c r="D1557">
        <v>0.22773733932166601</v>
      </c>
      <c r="E1557">
        <v>9.9895941727367002E-2</v>
      </c>
      <c r="F1557">
        <v>-4.8176497073390001E-2</v>
      </c>
      <c r="G1557">
        <v>-0.12546694852500101</v>
      </c>
      <c r="H1557">
        <v>-0.23655576140381199</v>
      </c>
      <c r="I1557">
        <v>0.90598121066772408</v>
      </c>
    </row>
    <row r="1558" spans="1:9" x14ac:dyDescent="0.2">
      <c r="A1558" s="1" t="s">
        <v>1558</v>
      </c>
      <c r="B1558" t="str">
        <f>HYPERLINK("https://www.suredividend.com/sure-analysis-research-database/","Stitch Fix Inc")</f>
        <v>Stitch Fix Inc</v>
      </c>
      <c r="C1558">
        <v>6.8111455108359004E-2</v>
      </c>
      <c r="D1558">
        <v>-2.5423728813559001E-2</v>
      </c>
      <c r="E1558">
        <v>-8.2446808510638001E-2</v>
      </c>
      <c r="F1558">
        <v>-3.3613445378151002E-2</v>
      </c>
      <c r="G1558">
        <v>-0.31137724550898099</v>
      </c>
      <c r="H1558">
        <v>-0.73025801407349411</v>
      </c>
      <c r="I1558">
        <v>-0.87203264094955402</v>
      </c>
    </row>
    <row r="1559" spans="1:9" x14ac:dyDescent="0.2">
      <c r="A1559" s="1" t="s">
        <v>1559</v>
      </c>
      <c r="B1559" t="str">
        <f>HYPERLINK("https://www.suredividend.com/sure-analysis-SFL/","SFL Corporation Ltd")</f>
        <v>SFL Corporation Ltd</v>
      </c>
      <c r="C1559">
        <v>5.5509527754763012E-2</v>
      </c>
      <c r="D1559">
        <v>0.16339594729104001</v>
      </c>
      <c r="E1559">
        <v>0.22619081993089399</v>
      </c>
      <c r="F1559">
        <v>0.129432624113475</v>
      </c>
      <c r="G1559">
        <v>0.38173378306562611</v>
      </c>
      <c r="H1559">
        <v>0.55627763797610608</v>
      </c>
      <c r="I1559">
        <v>0.63297742799646206</v>
      </c>
    </row>
    <row r="1560" spans="1:9" x14ac:dyDescent="0.2">
      <c r="A1560" s="1" t="s">
        <v>1560</v>
      </c>
      <c r="B1560" t="str">
        <f>HYPERLINK("https://www.suredividend.com/sure-analysis-research-database/","Sprouts Farmers Market Inc")</f>
        <v>Sprouts Farmers Market Inc</v>
      </c>
      <c r="C1560">
        <v>2.8089887640449E-2</v>
      </c>
      <c r="D1560">
        <v>0.28281363306744001</v>
      </c>
      <c r="E1560">
        <v>0.35659509202453998</v>
      </c>
      <c r="F1560">
        <v>0.103097069216379</v>
      </c>
      <c r="G1560">
        <v>0.60623486682808703</v>
      </c>
      <c r="H1560">
        <v>0.82245879120879106</v>
      </c>
      <c r="I1560">
        <v>1.1984258492129241</v>
      </c>
    </row>
    <row r="1561" spans="1:9" x14ac:dyDescent="0.2">
      <c r="A1561" s="1" t="s">
        <v>1561</v>
      </c>
      <c r="B1561" t="str">
        <f>HYPERLINK("https://www.suredividend.com/sure-analysis-research-database/","Simmons First National Corp.")</f>
        <v>Simmons First National Corp.</v>
      </c>
      <c r="C1561">
        <v>-7.9281183932340005E-3</v>
      </c>
      <c r="D1561">
        <v>0.16703453850219099</v>
      </c>
      <c r="E1561">
        <v>8.6082292287484014E-2</v>
      </c>
      <c r="F1561">
        <v>-5.3931451612902997E-2</v>
      </c>
      <c r="G1561">
        <v>-0.115194426243418</v>
      </c>
      <c r="H1561">
        <v>-0.27994353100040598</v>
      </c>
      <c r="I1561">
        <v>-0.17536190497111301</v>
      </c>
    </row>
    <row r="1562" spans="1:9" x14ac:dyDescent="0.2">
      <c r="A1562" s="1" t="s">
        <v>1562</v>
      </c>
      <c r="B1562" t="str">
        <f>HYPERLINK("https://www.suredividend.com/sure-analysis-research-database/","Southern First Bancshares Inc")</f>
        <v>Southern First Bancshares Inc</v>
      </c>
      <c r="C1562">
        <v>-6.2191780821917002E-2</v>
      </c>
      <c r="D1562">
        <v>0.15020161290322501</v>
      </c>
      <c r="E1562">
        <v>0.20996818663838801</v>
      </c>
      <c r="F1562">
        <v>-7.7358490566037011E-2</v>
      </c>
      <c r="G1562">
        <v>-0.170985710825865</v>
      </c>
      <c r="H1562">
        <v>-0.38600896860986511</v>
      </c>
      <c r="I1562">
        <v>-0.104629871828407</v>
      </c>
    </row>
    <row r="1563" spans="1:9" x14ac:dyDescent="0.2">
      <c r="A1563" s="1" t="s">
        <v>1563</v>
      </c>
      <c r="B1563" t="str">
        <f>HYPERLINK("https://www.suredividend.com/sure-analysis-research-database/","Sweetgreen Inc")</f>
        <v>Sweetgreen Inc</v>
      </c>
      <c r="C1563">
        <v>8.9453860640301003E-2</v>
      </c>
      <c r="D1563">
        <v>0.168686868686868</v>
      </c>
      <c r="E1563">
        <v>-0.136567164179104</v>
      </c>
      <c r="F1563">
        <v>2.3893805309733999E-2</v>
      </c>
      <c r="G1563">
        <v>0.241416309012875</v>
      </c>
      <c r="H1563">
        <v>-0.52249277754849299</v>
      </c>
      <c r="I1563">
        <v>-0.76626262626262609</v>
      </c>
    </row>
    <row r="1564" spans="1:9" x14ac:dyDescent="0.2">
      <c r="A1564" s="1" t="s">
        <v>1564</v>
      </c>
      <c r="B1564" t="str">
        <f>HYPERLINK("https://www.suredividend.com/sure-analysis-research-database/","SMART Global Holdings Inc")</f>
        <v>SMART Global Holdings Inc</v>
      </c>
      <c r="C1564">
        <v>-0.13062472695500199</v>
      </c>
      <c r="D1564">
        <v>0.19591346153846101</v>
      </c>
      <c r="E1564">
        <v>-0.14371772805507699</v>
      </c>
      <c r="F1564">
        <v>5.1241415742208002E-2</v>
      </c>
      <c r="G1564">
        <v>0.142365097588978</v>
      </c>
      <c r="H1564">
        <v>-0.28673835125448</v>
      </c>
      <c r="I1564">
        <v>0.344140493076663</v>
      </c>
    </row>
    <row r="1565" spans="1:9" x14ac:dyDescent="0.2">
      <c r="A1565" s="1" t="s">
        <v>1565</v>
      </c>
      <c r="B1565" t="str">
        <f>HYPERLINK("https://www.suredividend.com/sure-analysis-research-database/","Super Group (SGHC) Limited")</f>
        <v>Super Group (SGHC) Limited</v>
      </c>
      <c r="C1565">
        <v>5.9602649006622002E-2</v>
      </c>
      <c r="D1565">
        <v>6.2893081761000004E-3</v>
      </c>
      <c r="E1565">
        <v>-8.0459770114942E-2</v>
      </c>
      <c r="F1565">
        <v>9.4637223974760008E-3</v>
      </c>
      <c r="G1565">
        <v>-0.18781725888324799</v>
      </c>
      <c r="H1565">
        <v>-0.5886889460154241</v>
      </c>
      <c r="I1565">
        <v>-0.61212121212121207</v>
      </c>
    </row>
    <row r="1566" spans="1:9" x14ac:dyDescent="0.2">
      <c r="A1566" s="1" t="s">
        <v>1566</v>
      </c>
      <c r="B1566" t="str">
        <f>HYPERLINK("https://www.suredividend.com/sure-analysis-research-database/","Sight Sciences Inc")</f>
        <v>Sight Sciences Inc</v>
      </c>
      <c r="C1566">
        <v>-0.19417475728155301</v>
      </c>
      <c r="D1566">
        <v>0.82017543859649111</v>
      </c>
      <c r="E1566">
        <v>-0.43150684931506811</v>
      </c>
      <c r="F1566">
        <v>-0.19573643410852701</v>
      </c>
      <c r="G1566">
        <v>-0.64770797962648508</v>
      </c>
      <c r="H1566">
        <v>-0.7386649874055411</v>
      </c>
      <c r="I1566">
        <v>-0.87611940298507407</v>
      </c>
    </row>
    <row r="1567" spans="1:9" x14ac:dyDescent="0.2">
      <c r="A1567" s="1" t="s">
        <v>1567</v>
      </c>
      <c r="B1567" t="str">
        <f>HYPERLINK("https://www.suredividend.com/sure-analysis-research-database/","Sangamo Therapeutics Inc")</f>
        <v>Sangamo Therapeutics Inc</v>
      </c>
      <c r="C1567">
        <v>1.7308493404304559</v>
      </c>
      <c r="D1567">
        <v>1.843373493975903</v>
      </c>
      <c r="E1567">
        <v>0.287366353916648</v>
      </c>
      <c r="F1567">
        <v>1.1719123872630219</v>
      </c>
      <c r="G1567">
        <v>-0.61563517915309407</v>
      </c>
      <c r="H1567">
        <v>-0.79225352112676006</v>
      </c>
      <c r="I1567">
        <v>-0.86052009456264711</v>
      </c>
    </row>
    <row r="1568" spans="1:9" x14ac:dyDescent="0.2">
      <c r="A1568" s="1" t="s">
        <v>1568</v>
      </c>
      <c r="B1568" t="str">
        <f>HYPERLINK("https://www.suredividend.com/sure-analysis-research-database/","Sagimet Biosciences Inc")</f>
        <v>Sagimet Biosciences Inc</v>
      </c>
      <c r="C1568">
        <v>2.3460410557184001E-2</v>
      </c>
      <c r="D1568">
        <v>1.3189368770764121</v>
      </c>
      <c r="E1568">
        <v>-0.44996059889676898</v>
      </c>
      <c r="F1568">
        <v>0.287822878228782</v>
      </c>
      <c r="G1568">
        <v>-0.56238244514106506</v>
      </c>
      <c r="H1568">
        <v>-0.56238244514106506</v>
      </c>
      <c r="I1568">
        <v>-0.56238244514106506</v>
      </c>
    </row>
    <row r="1569" spans="1:9" x14ac:dyDescent="0.2">
      <c r="A1569" s="1" t="s">
        <v>1569</v>
      </c>
      <c r="B1569" t="str">
        <f>HYPERLINK("https://www.suredividend.com/sure-analysis-research-database/","Surgery Partners Inc")</f>
        <v>Surgery Partners Inc</v>
      </c>
      <c r="C1569">
        <v>5.1106263633530012E-2</v>
      </c>
      <c r="D1569">
        <v>5.0451572718779002E-2</v>
      </c>
      <c r="E1569">
        <v>3.3078101071975001E-2</v>
      </c>
      <c r="F1569">
        <v>5.4391997499217998E-2</v>
      </c>
      <c r="G1569">
        <v>-3.6285714285713998E-2</v>
      </c>
      <c r="H1569">
        <v>-0.29977164210089202</v>
      </c>
      <c r="I1569">
        <v>1.6413469068128419</v>
      </c>
    </row>
    <row r="1570" spans="1:9" x14ac:dyDescent="0.2">
      <c r="A1570" s="1" t="s">
        <v>1570</v>
      </c>
      <c r="B1570" t="str">
        <f>HYPERLINK("https://www.suredividend.com/sure-analysis-research-database/","Shake Shack Inc")</f>
        <v>Shake Shack Inc</v>
      </c>
      <c r="C1570">
        <v>0.44612420334963598</v>
      </c>
      <c r="D1570">
        <v>0.57625201938610604</v>
      </c>
      <c r="E1570">
        <v>0.40671856978085302</v>
      </c>
      <c r="F1570">
        <v>0.31637884511602699</v>
      </c>
      <c r="G1570">
        <v>0.77399999999999902</v>
      </c>
      <c r="H1570">
        <v>0.35382267240183102</v>
      </c>
      <c r="I1570">
        <v>0.84616840113528802</v>
      </c>
    </row>
    <row r="1571" spans="1:9" x14ac:dyDescent="0.2">
      <c r="A1571" s="1" t="s">
        <v>1571</v>
      </c>
      <c r="B1571" t="str">
        <f>HYPERLINK("https://www.suredividend.com/sure-analysis-research-database/","Shore Bancshares Inc.")</f>
        <v>Shore Bancshares Inc.</v>
      </c>
      <c r="C1571">
        <v>-9.6380845456955008E-2</v>
      </c>
      <c r="D1571">
        <v>-2.1759313965461002E-2</v>
      </c>
      <c r="E1571">
        <v>9.3633524255263001E-2</v>
      </c>
      <c r="F1571">
        <v>-0.16866908151920501</v>
      </c>
      <c r="G1571">
        <v>-0.28109318496188301</v>
      </c>
      <c r="H1571">
        <v>-0.38525677066205499</v>
      </c>
      <c r="I1571">
        <v>-8.4814554528154007E-2</v>
      </c>
    </row>
    <row r="1572" spans="1:9" x14ac:dyDescent="0.2">
      <c r="A1572" s="1" t="s">
        <v>1572</v>
      </c>
      <c r="B1572" t="str">
        <f>HYPERLINK("https://www.suredividend.com/sure-analysis-research-database/","Sharecare Inc")</f>
        <v>Sharecare Inc</v>
      </c>
      <c r="C1572">
        <v>0.151732882502113</v>
      </c>
      <c r="D1572">
        <v>0.15015300200485401</v>
      </c>
      <c r="E1572">
        <v>5.8252427184466007E-2</v>
      </c>
      <c r="F1572">
        <v>9.2592592592590003E-3</v>
      </c>
      <c r="G1572">
        <v>-0.54958677685950408</v>
      </c>
      <c r="H1572">
        <v>-0.6414473684210521</v>
      </c>
      <c r="I1572">
        <v>-0.89100000000000001</v>
      </c>
    </row>
    <row r="1573" spans="1:9" x14ac:dyDescent="0.2">
      <c r="A1573" s="1" t="s">
        <v>1573</v>
      </c>
      <c r="B1573" t="str">
        <f>HYPERLINK("https://www.suredividend.com/sure-analysis-research-database/","Shenandoah Telecommunications Co.")</f>
        <v>Shenandoah Telecommunications Co.</v>
      </c>
      <c r="C1573">
        <v>-3.0938123752493999E-2</v>
      </c>
      <c r="D1573">
        <v>-0.17185501066098</v>
      </c>
      <c r="E1573">
        <v>-0.14352750238154</v>
      </c>
      <c r="F1573">
        <v>-0.10175763182238599</v>
      </c>
      <c r="G1573">
        <v>-4.9955168438570001E-3</v>
      </c>
      <c r="H1573">
        <v>-8.9131015980075001E-2</v>
      </c>
      <c r="I1573">
        <v>-0.374242775758513</v>
      </c>
    </row>
    <row r="1574" spans="1:9" x14ac:dyDescent="0.2">
      <c r="A1574" s="1" t="s">
        <v>1574</v>
      </c>
      <c r="B1574" t="str">
        <f>HYPERLINK("https://www.suredividend.com/sure-analysis-research-database/","Shoals Technologies Group Inc")</f>
        <v>Shoals Technologies Group Inc</v>
      </c>
      <c r="C1574">
        <v>0.20940819423368701</v>
      </c>
      <c r="D1574">
        <v>6.5508021390374011E-2</v>
      </c>
      <c r="E1574">
        <v>-0.16500785751702399</v>
      </c>
      <c r="F1574">
        <v>2.5740025740024999E-2</v>
      </c>
      <c r="G1574">
        <v>-0.38145129996119498</v>
      </c>
      <c r="H1574">
        <v>0.28341384863123897</v>
      </c>
      <c r="I1574">
        <v>-0.48547449967721101</v>
      </c>
    </row>
    <row r="1575" spans="1:9" x14ac:dyDescent="0.2">
      <c r="A1575" s="1" t="s">
        <v>1575</v>
      </c>
      <c r="B1575" t="str">
        <f>HYPERLINK("https://www.suredividend.com/sure-analysis-research-database/","Sunstone Hotel Investors Inc")</f>
        <v>Sunstone Hotel Investors Inc</v>
      </c>
      <c r="C1575">
        <v>1.3966480446927E-2</v>
      </c>
      <c r="D1575">
        <v>0.101568901162261</v>
      </c>
      <c r="E1575">
        <v>0.24799449919779901</v>
      </c>
      <c r="F1575">
        <v>1.4911463187325001E-2</v>
      </c>
      <c r="G1575">
        <v>9.1926362651907012E-2</v>
      </c>
      <c r="H1575">
        <v>-2.3073058705325E-2</v>
      </c>
      <c r="I1575">
        <v>-0.210572099631745</v>
      </c>
    </row>
    <row r="1576" spans="1:9" x14ac:dyDescent="0.2">
      <c r="A1576" s="1" t="s">
        <v>1576</v>
      </c>
      <c r="B1576" t="str">
        <f>HYPERLINK("https://www.suredividend.com/sure-analysis-research-database/","Steven Madden Ltd.")</f>
        <v>Steven Madden Ltd.</v>
      </c>
      <c r="C1576">
        <v>4.9879518072289013E-2</v>
      </c>
      <c r="D1576">
        <v>0.19362995553680401</v>
      </c>
      <c r="E1576">
        <v>0.28490582174106599</v>
      </c>
      <c r="F1576">
        <v>3.7380952380952001E-2</v>
      </c>
      <c r="G1576">
        <v>0.29963102052504198</v>
      </c>
      <c r="H1576">
        <v>0.107059824933619</v>
      </c>
      <c r="I1576">
        <v>0.47914530726977611</v>
      </c>
    </row>
    <row r="1577" spans="1:9" x14ac:dyDescent="0.2">
      <c r="A1577" s="1" t="s">
        <v>1577</v>
      </c>
      <c r="B1577" t="str">
        <f>HYPERLINK("https://www.suredividend.com/sure-analysis-research-database/","Shyft Group Inc (The)")</f>
        <v>Shyft Group Inc (The)</v>
      </c>
      <c r="C1577">
        <v>1.9260966114449999E-2</v>
      </c>
      <c r="D1577">
        <v>-2.9873184881232001E-2</v>
      </c>
      <c r="E1577">
        <v>-0.25114342275923202</v>
      </c>
      <c r="F1577">
        <v>-9.4174476693778014E-2</v>
      </c>
      <c r="G1577">
        <v>-0.64609249987095407</v>
      </c>
      <c r="H1577">
        <v>-0.74388546987794202</v>
      </c>
      <c r="I1577">
        <v>0.20623680506685399</v>
      </c>
    </row>
    <row r="1578" spans="1:9" x14ac:dyDescent="0.2">
      <c r="A1578" s="1" t="s">
        <v>1578</v>
      </c>
      <c r="B1578" t="str">
        <f>HYPERLINK("https://www.suredividend.com/sure-analysis-research-database/","SI-BONE Inc")</f>
        <v>SI-BONE Inc</v>
      </c>
      <c r="C1578">
        <v>0.12189859762675299</v>
      </c>
      <c r="D1578">
        <v>0.15299334811529899</v>
      </c>
      <c r="E1578">
        <v>-2.8491359177954E-2</v>
      </c>
      <c r="F1578">
        <v>-9.0519294902330003E-3</v>
      </c>
      <c r="G1578">
        <v>0.21994134897360701</v>
      </c>
      <c r="H1578">
        <v>7.5491209927611005E-2</v>
      </c>
      <c r="I1578">
        <v>8.6729362591431006E-2</v>
      </c>
    </row>
    <row r="1579" spans="1:9" x14ac:dyDescent="0.2">
      <c r="A1579" s="1" t="s">
        <v>1579</v>
      </c>
      <c r="B1579" t="str">
        <f>HYPERLINK("https://www.suredividend.com/sure-analysis-research-database/","Signet Jewelers Ltd")</f>
        <v>Signet Jewelers Ltd</v>
      </c>
      <c r="C1579">
        <v>8.6892768947307006E-2</v>
      </c>
      <c r="D1579">
        <v>0.29798611681391901</v>
      </c>
      <c r="E1579">
        <v>0.43352921876125311</v>
      </c>
      <c r="F1579">
        <v>4.408069280607E-3</v>
      </c>
      <c r="G1579">
        <v>0.42452898958906199</v>
      </c>
      <c r="H1579">
        <v>0.41437987969612111</v>
      </c>
      <c r="I1579">
        <v>3.5657871819815381</v>
      </c>
    </row>
    <row r="1580" spans="1:9" x14ac:dyDescent="0.2">
      <c r="A1580" s="1" t="s">
        <v>1580</v>
      </c>
      <c r="B1580" t="str">
        <f>HYPERLINK("https://www.suredividend.com/sure-analysis-research-database/","SIGA Technologies Inc")</f>
        <v>SIGA Technologies Inc</v>
      </c>
      <c r="C1580">
        <v>-1.1695906432748E-2</v>
      </c>
      <c r="D1580">
        <v>-1.9342359767891001E-2</v>
      </c>
      <c r="E1580">
        <v>9.0322580645161007E-2</v>
      </c>
      <c r="F1580">
        <v>-9.4642857142857001E-2</v>
      </c>
      <c r="G1580">
        <v>-0.15140762561510299</v>
      </c>
      <c r="H1580">
        <v>2.4552894816611E-2</v>
      </c>
      <c r="I1580">
        <v>-9.3039480510187011E-2</v>
      </c>
    </row>
    <row r="1581" spans="1:9" x14ac:dyDescent="0.2">
      <c r="A1581" s="1" t="s">
        <v>1581</v>
      </c>
      <c r="B1581" t="str">
        <f>HYPERLINK("https://www.suredividend.com/sure-analysis-research-database/","Selective Insurance Group Inc.")</f>
        <v>Selective Insurance Group Inc.</v>
      </c>
      <c r="C1581">
        <v>-2.2893439481984999E-2</v>
      </c>
      <c r="D1581">
        <v>1.9181544889838E-2</v>
      </c>
      <c r="E1581">
        <v>2.1030736769787998E-2</v>
      </c>
      <c r="F1581">
        <v>3.4958834449098003E-2</v>
      </c>
      <c r="G1581">
        <v>2.233131533297E-2</v>
      </c>
      <c r="H1581">
        <v>0.34885739576201502</v>
      </c>
      <c r="I1581">
        <v>0.65166838698630603</v>
      </c>
    </row>
    <row r="1582" spans="1:9" x14ac:dyDescent="0.2">
      <c r="A1582" s="1" t="s">
        <v>1582</v>
      </c>
      <c r="B1582" t="str">
        <f>HYPERLINK("https://www.suredividend.com/sure-analysis-research-database/","Silk Road Medical Inc")</f>
        <v>Silk Road Medical Inc</v>
      </c>
      <c r="C1582">
        <v>0.15488215488215401</v>
      </c>
      <c r="D1582">
        <v>1.06875753920386</v>
      </c>
      <c r="E1582">
        <v>-0.19294117647058801</v>
      </c>
      <c r="F1582">
        <v>0.39771801140994201</v>
      </c>
      <c r="G1582">
        <v>-0.6818181818181811</v>
      </c>
      <c r="H1582">
        <v>-0.43807339449541199</v>
      </c>
      <c r="I1582">
        <v>-0.52598120508568202</v>
      </c>
    </row>
    <row r="1583" spans="1:9" x14ac:dyDescent="0.2">
      <c r="A1583" s="1" t="s">
        <v>1583</v>
      </c>
      <c r="B1583" t="str">
        <f>HYPERLINK("https://www.suredividend.com/sure-analysis-research-database/","SITE Centers Corp")</f>
        <v>SITE Centers Corp</v>
      </c>
      <c r="C1583">
        <v>1.8050541516245001E-2</v>
      </c>
      <c r="D1583">
        <v>7.9021075347812011E-2</v>
      </c>
      <c r="E1583">
        <v>0.11359454101739801</v>
      </c>
      <c r="F1583">
        <v>3.4482758620689002E-2</v>
      </c>
      <c r="G1583">
        <v>7.9682068088886004E-2</v>
      </c>
      <c r="H1583">
        <v>-4.3708824380899996E-3</v>
      </c>
      <c r="I1583">
        <v>0.326983887968679</v>
      </c>
    </row>
    <row r="1584" spans="1:9" x14ac:dyDescent="0.2">
      <c r="A1584" s="1" t="s">
        <v>1584</v>
      </c>
      <c r="B1584" t="str">
        <f>HYPERLINK("https://www.suredividend.com/sure-analysis-research-database/","SiTime Corp")</f>
        <v>SiTime Corp</v>
      </c>
      <c r="C1584">
        <v>-0.134515463917525</v>
      </c>
      <c r="D1584">
        <v>-0.116741015066071</v>
      </c>
      <c r="E1584">
        <v>-0.151039559906156</v>
      </c>
      <c r="F1584">
        <v>-0.14039973787680199</v>
      </c>
      <c r="G1584">
        <v>-0.13558484349258601</v>
      </c>
      <c r="H1584">
        <v>-0.43864341499946502</v>
      </c>
      <c r="I1584">
        <v>4.6268096514745309</v>
      </c>
    </row>
    <row r="1585" spans="1:9" x14ac:dyDescent="0.2">
      <c r="A1585" s="1" t="s">
        <v>1585</v>
      </c>
      <c r="B1585" t="str">
        <f>HYPERLINK("https://www.suredividend.com/sure-analysis-research-database/","Six Flags Entertainment Corp")</f>
        <v>Six Flags Entertainment Corp</v>
      </c>
      <c r="C1585">
        <v>3.2613126783520002E-3</v>
      </c>
      <c r="D1585">
        <v>2.0315091210613E-2</v>
      </c>
      <c r="E1585">
        <v>0.152153558052434</v>
      </c>
      <c r="F1585">
        <v>-1.8740031897926002E-2</v>
      </c>
      <c r="G1585">
        <v>-0.133145473758365</v>
      </c>
      <c r="H1585">
        <v>-0.45042429656096411</v>
      </c>
      <c r="I1585">
        <v>-0.54343575263530808</v>
      </c>
    </row>
    <row r="1586" spans="1:9" x14ac:dyDescent="0.2">
      <c r="A1586" s="1" t="s">
        <v>1586</v>
      </c>
      <c r="B1586" t="str">
        <f>HYPERLINK("https://www.suredividend.com/sure-analysis-SJW/","SJW Group")</f>
        <v>SJW Group</v>
      </c>
      <c r="C1586">
        <v>-2.7660814925179002E-2</v>
      </c>
      <c r="D1586">
        <v>-6.3951856817685004E-2</v>
      </c>
      <c r="E1586">
        <v>-9.7869987498798008E-2</v>
      </c>
      <c r="F1586">
        <v>-7.5125275544580011E-2</v>
      </c>
      <c r="G1586">
        <v>-0.20917171142407001</v>
      </c>
      <c r="H1586">
        <v>-3.7354617138422003E-2</v>
      </c>
      <c r="I1586">
        <v>8.8655427139505014E-2</v>
      </c>
    </row>
    <row r="1587" spans="1:9" x14ac:dyDescent="0.2">
      <c r="A1587" s="1" t="s">
        <v>1587</v>
      </c>
      <c r="B1587" t="str">
        <f>HYPERLINK("https://www.suredividend.com/sure-analysis-research-database/","Skillsoft Corp.")</f>
        <v>Skillsoft Corp.</v>
      </c>
      <c r="C1587">
        <v>-0.15034965034965</v>
      </c>
      <c r="D1587">
        <v>-0.40702781844802299</v>
      </c>
      <c r="E1587">
        <v>-0.525390625</v>
      </c>
      <c r="F1587">
        <v>-0.30887372013651798</v>
      </c>
      <c r="G1587">
        <v>-0.62267080745341608</v>
      </c>
      <c r="H1587">
        <v>-0.90040983606557312</v>
      </c>
      <c r="I1587">
        <v>0.22727272727272699</v>
      </c>
    </row>
    <row r="1588" spans="1:9" x14ac:dyDescent="0.2">
      <c r="A1588" s="1" t="s">
        <v>1588</v>
      </c>
      <c r="B1588" t="str">
        <f>HYPERLINK("https://www.suredividend.com/sure-analysis-research-database/","Beauty Health Company (The)")</f>
        <v>Beauty Health Company (The)</v>
      </c>
      <c r="C1588">
        <v>0.22633744855967</v>
      </c>
      <c r="D1588">
        <v>0.27350427350427298</v>
      </c>
      <c r="E1588">
        <v>-0.53582554517133907</v>
      </c>
      <c r="F1588">
        <v>-4.1800643086815997E-2</v>
      </c>
      <c r="G1588">
        <v>-0.73721340388007006</v>
      </c>
      <c r="H1588">
        <v>-0.77761194029850711</v>
      </c>
      <c r="I1588">
        <v>-0.72508971484976703</v>
      </c>
    </row>
    <row r="1589" spans="1:9" x14ac:dyDescent="0.2">
      <c r="A1589" s="1" t="s">
        <v>1589</v>
      </c>
      <c r="B1589" t="str">
        <f>HYPERLINK("https://www.suredividend.com/sure-analysis-SKT/","Tanger Inc.")</f>
        <v>Tanger Inc.</v>
      </c>
      <c r="C1589">
        <v>7.7447623035396013E-2</v>
      </c>
      <c r="D1589">
        <v>0.14802879233903901</v>
      </c>
      <c r="E1589">
        <v>0.24921977945766</v>
      </c>
      <c r="F1589">
        <v>4.9461613811234997E-2</v>
      </c>
      <c r="G1589">
        <v>0.63663518708864009</v>
      </c>
      <c r="H1589">
        <v>0.91054512187845904</v>
      </c>
      <c r="I1589">
        <v>0.77135832821143202</v>
      </c>
    </row>
    <row r="1590" spans="1:9" x14ac:dyDescent="0.2">
      <c r="A1590" s="1" t="s">
        <v>1590</v>
      </c>
      <c r="B1590" t="str">
        <f>HYPERLINK("https://www.suredividend.com/sure-analysis-research-database/","Skyward Specialty Insurance Group Inc")</f>
        <v>Skyward Specialty Insurance Group Inc</v>
      </c>
      <c r="C1590">
        <v>9.4035973493215005E-2</v>
      </c>
      <c r="D1590">
        <v>0.15566666666666601</v>
      </c>
      <c r="E1590">
        <v>0.42557565789473611</v>
      </c>
      <c r="F1590">
        <v>2.3317591499408999E-2</v>
      </c>
      <c r="G1590">
        <v>0.76258261311642006</v>
      </c>
      <c r="H1590">
        <v>0.81518324607329806</v>
      </c>
      <c r="I1590">
        <v>0.81518324607329806</v>
      </c>
    </row>
    <row r="1591" spans="1:9" x14ac:dyDescent="0.2">
      <c r="A1591" s="1" t="s">
        <v>1591</v>
      </c>
      <c r="B1591" t="str">
        <f>HYPERLINK("https://www.suredividend.com/sure-analysis-research-database/","Skyline Champion Corp")</f>
        <v>Skyline Champion Corp</v>
      </c>
      <c r="C1591">
        <v>0.13675335810231401</v>
      </c>
      <c r="D1591">
        <v>0.32738194560320311</v>
      </c>
      <c r="E1591">
        <v>0.223657898784802</v>
      </c>
      <c r="F1591">
        <v>7.1236197145165006E-2</v>
      </c>
      <c r="G1591">
        <v>0.111809923130677</v>
      </c>
      <c r="H1591">
        <v>7.7037638776062012E-2</v>
      </c>
      <c r="I1591">
        <v>2.9167897587395371</v>
      </c>
    </row>
    <row r="1592" spans="1:9" x14ac:dyDescent="0.2">
      <c r="A1592" s="1" t="s">
        <v>1592</v>
      </c>
      <c r="B1592" t="str">
        <f>HYPERLINK("https://www.suredividend.com/sure-analysis-research-database/","SkyWater Technology Inc")</f>
        <v>SkyWater Technology Inc</v>
      </c>
      <c r="C1592">
        <v>7.7097505668934002E-2</v>
      </c>
      <c r="D1592">
        <v>0.36494252873563199</v>
      </c>
      <c r="E1592">
        <v>0.42002989536621799</v>
      </c>
      <c r="F1592">
        <v>-1.2474012474011999E-2</v>
      </c>
      <c r="G1592">
        <v>-0.36666666666666597</v>
      </c>
      <c r="H1592">
        <v>-6.679764243614901E-2</v>
      </c>
      <c r="I1592">
        <v>-0.46448703494926702</v>
      </c>
    </row>
    <row r="1593" spans="1:9" x14ac:dyDescent="0.2">
      <c r="A1593" s="1" t="s">
        <v>1593</v>
      </c>
      <c r="B1593" t="str">
        <f>HYPERLINK("https://www.suredividend.com/sure-analysis-research-database/","Skywest Inc.")</f>
        <v>Skywest Inc.</v>
      </c>
      <c r="C1593">
        <v>0.22155207076799299</v>
      </c>
      <c r="D1593">
        <v>0.28293918918918898</v>
      </c>
      <c r="E1593">
        <v>0.52014010507880903</v>
      </c>
      <c r="F1593">
        <v>0.16398467432950101</v>
      </c>
      <c r="G1593">
        <v>1.966796875</v>
      </c>
      <c r="H1593">
        <v>1.021963394342762</v>
      </c>
      <c r="I1593">
        <v>0.102610261026102</v>
      </c>
    </row>
    <row r="1594" spans="1:9" x14ac:dyDescent="0.2">
      <c r="A1594" s="1" t="s">
        <v>1594</v>
      </c>
      <c r="B1594" t="str">
        <f>HYPERLINK("https://www.suredividend.com/sure-analysis-research-database/","SKYX Platforms Corp")</f>
        <v>SKYX Platforms Corp</v>
      </c>
      <c r="C1594">
        <v>-0.102409638554216</v>
      </c>
      <c r="D1594">
        <v>-0.113095238095238</v>
      </c>
      <c r="E1594">
        <v>-0.17679558011049701</v>
      </c>
      <c r="F1594">
        <v>-6.8750000000000006E-2</v>
      </c>
      <c r="G1594">
        <v>-0.53437499999999993</v>
      </c>
      <c r="H1594">
        <v>-0.87974172719935406</v>
      </c>
      <c r="I1594">
        <v>-0.87426160337552705</v>
      </c>
    </row>
    <row r="1595" spans="1:9" x14ac:dyDescent="0.2">
      <c r="A1595" s="1" t="s">
        <v>1595</v>
      </c>
      <c r="B1595" t="str">
        <f>HYPERLINK("https://www.suredividend.com/sure-analysis-research-database/","Silicon Laboratories Inc")</f>
        <v>Silicon Laboratories Inc</v>
      </c>
      <c r="C1595">
        <v>9.1031425631283011E-2</v>
      </c>
      <c r="D1595">
        <v>0.32528846153846103</v>
      </c>
      <c r="E1595">
        <v>4.2114017843641001E-2</v>
      </c>
      <c r="F1595">
        <v>4.2035230966960997E-2</v>
      </c>
      <c r="G1595">
        <v>-0.23137407985723801</v>
      </c>
      <c r="H1595">
        <v>-8.8184704948398002E-2</v>
      </c>
      <c r="I1595">
        <v>0.59101927738658599</v>
      </c>
    </row>
    <row r="1596" spans="1:9" x14ac:dyDescent="0.2">
      <c r="A1596" s="1" t="s">
        <v>1596</v>
      </c>
      <c r="B1596" t="str">
        <f>HYPERLINK("https://www.suredividend.com/sure-analysis-research-database/","U.S. Silica Holdings Inc")</f>
        <v>U.S. Silica Holdings Inc</v>
      </c>
      <c r="C1596">
        <v>2.9836381135707E-2</v>
      </c>
      <c r="D1596">
        <v>-4.4642857142857012E-2</v>
      </c>
      <c r="E1596">
        <v>-0.145367412140575</v>
      </c>
      <c r="F1596">
        <v>-5.3934571175950012E-2</v>
      </c>
      <c r="G1596">
        <v>-6.9565217391304002E-2</v>
      </c>
      <c r="H1596">
        <v>-8.4687767322497012E-2</v>
      </c>
      <c r="I1596">
        <v>-0.30073129129443099</v>
      </c>
    </row>
    <row r="1597" spans="1:9" x14ac:dyDescent="0.2">
      <c r="A1597" s="1" t="s">
        <v>1597</v>
      </c>
      <c r="B1597" t="str">
        <f>HYPERLINK("https://www.suredividend.com/sure-analysis-research-database/","Solid Power Inc")</f>
        <v>Solid Power Inc</v>
      </c>
      <c r="C1597">
        <v>0.41525423728813499</v>
      </c>
      <c r="D1597">
        <v>0.105960264900662</v>
      </c>
      <c r="E1597">
        <v>-0.208530805687203</v>
      </c>
      <c r="F1597">
        <v>0.15172413793103401</v>
      </c>
      <c r="G1597">
        <v>-0.53221288515406107</v>
      </c>
      <c r="H1597">
        <v>-0.77493261455525608</v>
      </c>
      <c r="I1597">
        <v>-0.83299999999999996</v>
      </c>
    </row>
    <row r="1598" spans="1:9" x14ac:dyDescent="0.2">
      <c r="A1598" s="1" t="s">
        <v>1598</v>
      </c>
      <c r="B1598" t="str">
        <f>HYPERLINK("https://www.suredividend.com/sure-analysis-SLG/","SL Green Realty Corp.")</f>
        <v>SL Green Realty Corp.</v>
      </c>
      <c r="C1598">
        <v>3.0481159213135E-2</v>
      </c>
      <c r="D1598">
        <v>0.35667576213774899</v>
      </c>
      <c r="E1598">
        <v>0.49165912323806998</v>
      </c>
      <c r="F1598">
        <v>2.6830223614869E-2</v>
      </c>
      <c r="G1598">
        <v>0.36365248436557901</v>
      </c>
      <c r="H1598">
        <v>-0.33446611604579901</v>
      </c>
      <c r="I1598">
        <v>-0.29558649980992702</v>
      </c>
    </row>
    <row r="1599" spans="1:9" x14ac:dyDescent="0.2">
      <c r="A1599" s="1" t="s">
        <v>1599</v>
      </c>
      <c r="B1599" t="str">
        <f>HYPERLINK("https://www.suredividend.com/sure-analysis-research-database/","Simulations Plus Inc.")</f>
        <v>Simulations Plus Inc.</v>
      </c>
      <c r="C1599">
        <v>8.4365286762770011E-2</v>
      </c>
      <c r="D1599">
        <v>7.9877741856808002E-2</v>
      </c>
      <c r="E1599">
        <v>-9.4865175796668005E-2</v>
      </c>
      <c r="F1599">
        <v>-6.7081795094222005E-2</v>
      </c>
      <c r="G1599">
        <v>3.9177646444897997E-2</v>
      </c>
      <c r="H1599">
        <v>0.11704854410623999</v>
      </c>
      <c r="I1599">
        <v>1.1259967205913151</v>
      </c>
    </row>
    <row r="1600" spans="1:9" x14ac:dyDescent="0.2">
      <c r="A1600" s="1" t="s">
        <v>1600</v>
      </c>
      <c r="B1600" t="str">
        <f>HYPERLINK("https://www.suredividend.com/sure-analysis-research-database/","SelectQuote Inc")</f>
        <v>SelectQuote Inc</v>
      </c>
      <c r="C1600">
        <v>0.60952380952380902</v>
      </c>
      <c r="D1600">
        <v>0.33070866141732203</v>
      </c>
      <c r="E1600">
        <v>0.28030303030303</v>
      </c>
      <c r="F1600">
        <v>0.233576642335766</v>
      </c>
      <c r="G1600">
        <v>-0.17961165048543601</v>
      </c>
      <c r="H1600">
        <v>-0.44039735099337701</v>
      </c>
      <c r="I1600">
        <v>-0.93740740740740702</v>
      </c>
    </row>
    <row r="1601" spans="1:9" x14ac:dyDescent="0.2">
      <c r="A1601" s="1" t="s">
        <v>1601</v>
      </c>
      <c r="B1601" t="str">
        <f>HYPERLINK("https://www.suredividend.com/sure-analysis-research-database/","Acelyrin Inc")</f>
        <v>Acelyrin Inc</v>
      </c>
      <c r="C1601">
        <v>0.29491525423728698</v>
      </c>
      <c r="D1601">
        <v>-0.141573033707865</v>
      </c>
      <c r="E1601">
        <v>-0.71224105461393505</v>
      </c>
      <c r="F1601">
        <v>2.4128686327077001E-2</v>
      </c>
      <c r="G1601">
        <v>-0.67489361702127604</v>
      </c>
      <c r="H1601">
        <v>-0.67489361702127604</v>
      </c>
      <c r="I1601">
        <v>-0.67489361702127604</v>
      </c>
    </row>
    <row r="1602" spans="1:9" x14ac:dyDescent="0.2">
      <c r="A1602" s="1" t="s">
        <v>1602</v>
      </c>
      <c r="B1602" t="str">
        <f>HYPERLINK("https://www.suredividend.com/sure-analysis-research-database/","Sylvamo Corp")</f>
        <v>Sylvamo Corp</v>
      </c>
      <c r="C1602">
        <v>0.15089995814148099</v>
      </c>
      <c r="D1602">
        <v>0.152830188679245</v>
      </c>
      <c r="E1602">
        <v>0.45064407119472999</v>
      </c>
      <c r="F1602">
        <v>0.126539542582744</v>
      </c>
      <c r="G1602">
        <v>0.20352456074308101</v>
      </c>
      <c r="H1602">
        <v>0.45490431603093401</v>
      </c>
      <c r="I1602">
        <v>1.1996</v>
      </c>
    </row>
    <row r="1603" spans="1:9" x14ac:dyDescent="0.2">
      <c r="A1603" s="1" t="s">
        <v>1603</v>
      </c>
      <c r="B1603" t="str">
        <f>HYPERLINK("https://www.suredividend.com/sure-analysis-research-database/","SM Energy Co")</f>
        <v>SM Energy Co</v>
      </c>
      <c r="C1603">
        <v>8.7443946188340005E-2</v>
      </c>
      <c r="D1603">
        <v>2.5692540730302998E-2</v>
      </c>
      <c r="E1603">
        <v>-3.6113450440580001E-2</v>
      </c>
      <c r="F1603">
        <v>7.1486790258690003E-3</v>
      </c>
      <c r="G1603">
        <v>0.305166846071043</v>
      </c>
      <c r="H1603">
        <v>0.16294753248310201</v>
      </c>
      <c r="I1603">
        <v>1.0697086405001439</v>
      </c>
    </row>
    <row r="1604" spans="1:9" x14ac:dyDescent="0.2">
      <c r="A1604" s="1" t="s">
        <v>1604</v>
      </c>
      <c r="B1604" t="str">
        <f>HYPERLINK("https://www.suredividend.com/sure-analysis-research-database/","Southern Missouri Bancorp, Inc.")</f>
        <v>Southern Missouri Bancorp, Inc.</v>
      </c>
      <c r="C1604">
        <v>-8.0201604198150006E-2</v>
      </c>
      <c r="D1604">
        <v>-1.0886719630694999E-2</v>
      </c>
      <c r="E1604">
        <v>1.983980850672E-2</v>
      </c>
      <c r="F1604">
        <v>-0.16168933504615299</v>
      </c>
      <c r="G1604">
        <v>-4.7287316730202013E-2</v>
      </c>
      <c r="H1604">
        <v>-0.126688333573127</v>
      </c>
      <c r="I1604">
        <v>0.40286334825583903</v>
      </c>
    </row>
    <row r="1605" spans="1:9" x14ac:dyDescent="0.2">
      <c r="A1605" s="1" t="s">
        <v>1605</v>
      </c>
      <c r="B1605" t="str">
        <f>HYPERLINK("https://www.suredividend.com/sure-analysis-research-database/","SmartFinancial Inc")</f>
        <v>SmartFinancial Inc</v>
      </c>
      <c r="C1605">
        <v>-3.2431699130457001E-2</v>
      </c>
      <c r="D1605">
        <v>1.6785467923660001E-2</v>
      </c>
      <c r="E1605">
        <v>-4.0056268072210001E-2</v>
      </c>
      <c r="F1605">
        <v>-9.4067803554892013E-2</v>
      </c>
      <c r="G1605">
        <v>-0.183864811690924</v>
      </c>
      <c r="H1605">
        <v>-0.12590384546960401</v>
      </c>
      <c r="I1605">
        <v>0.167506257326616</v>
      </c>
    </row>
    <row r="1606" spans="1:9" x14ac:dyDescent="0.2">
      <c r="A1606" s="1" t="s">
        <v>1606</v>
      </c>
      <c r="B1606" t="str">
        <f>HYPERLINK("https://www.suredividend.com/sure-analysis-research-database/","Super Micro Computer Inc")</f>
        <v>Super Micro Computer Inc</v>
      </c>
      <c r="C1606">
        <v>0.86028439153439107</v>
      </c>
      <c r="D1606">
        <v>1.5855876559422191</v>
      </c>
      <c r="E1606">
        <v>2.2337097105317181</v>
      </c>
      <c r="F1606">
        <v>1.7705973404629569</v>
      </c>
      <c r="G1606">
        <v>7.5624048706240483</v>
      </c>
      <c r="H1606">
        <v>19.11159346271706</v>
      </c>
      <c r="I1606">
        <v>49.323961661341848</v>
      </c>
    </row>
    <row r="1607" spans="1:9" x14ac:dyDescent="0.2">
      <c r="A1607" s="1" t="s">
        <v>1607</v>
      </c>
      <c r="B1607" t="str">
        <f>HYPERLINK("https://www.suredividend.com/sure-analysis-research-database/","SEACOR Marine Holdings Inc")</f>
        <v>SEACOR Marine Holdings Inc</v>
      </c>
      <c r="C1607">
        <v>-3.0075187969923999E-2</v>
      </c>
      <c r="D1607">
        <v>-0.11492281303602001</v>
      </c>
      <c r="E1607">
        <v>-9.3145869947275001E-2</v>
      </c>
      <c r="F1607">
        <v>-0.18030182684670301</v>
      </c>
      <c r="G1607">
        <v>9.7847358121330007E-3</v>
      </c>
      <c r="H1607">
        <v>1.248366013071895</v>
      </c>
      <c r="I1607">
        <v>-0.25325615050651201</v>
      </c>
    </row>
    <row r="1608" spans="1:9" x14ac:dyDescent="0.2">
      <c r="A1608" s="1" t="s">
        <v>1608</v>
      </c>
      <c r="B1608" t="str">
        <f>HYPERLINK("https://www.suredividend.com/sure-analysis-research-database/","Semler Scientific Inc")</f>
        <v>Semler Scientific Inc</v>
      </c>
      <c r="C1608">
        <v>9.2072195567740003E-2</v>
      </c>
      <c r="D1608">
        <v>0.295041994039555</v>
      </c>
      <c r="E1608">
        <v>0.81541967337637611</v>
      </c>
      <c r="F1608">
        <v>7.9250395123052E-2</v>
      </c>
      <c r="G1608">
        <v>1.016026992830029</v>
      </c>
      <c r="H1608">
        <v>-0.34186975079168302</v>
      </c>
      <c r="I1608">
        <v>30.05509355509356</v>
      </c>
    </row>
    <row r="1609" spans="1:9" x14ac:dyDescent="0.2">
      <c r="A1609" s="1" t="s">
        <v>1609</v>
      </c>
      <c r="B1609" t="str">
        <f>HYPERLINK("https://www.suredividend.com/sure-analysis-research-database/","Summit Financial Group Inc")</f>
        <v>Summit Financial Group Inc</v>
      </c>
      <c r="C1609">
        <v>-5.7793345008756013E-2</v>
      </c>
      <c r="D1609">
        <v>0.20231523901043599</v>
      </c>
      <c r="E1609">
        <v>0.17756755691941301</v>
      </c>
      <c r="F1609">
        <v>-0.123492994460736</v>
      </c>
      <c r="G1609">
        <v>0.104319160553227</v>
      </c>
      <c r="H1609">
        <v>8.7119053681049011E-2</v>
      </c>
      <c r="I1609">
        <v>0.34042913664404301</v>
      </c>
    </row>
    <row r="1610" spans="1:9" x14ac:dyDescent="0.2">
      <c r="A1610" s="1" t="s">
        <v>1610</v>
      </c>
      <c r="B1610" t="str">
        <f>HYPERLINK("https://www.suredividend.com/sure-analysis-research-database/","Summit Therapeutics Inc")</f>
        <v>Summit Therapeutics Inc</v>
      </c>
      <c r="C1610">
        <v>3.6011080332410003E-2</v>
      </c>
      <c r="D1610">
        <v>0.87939698492462304</v>
      </c>
      <c r="E1610">
        <v>1.125</v>
      </c>
      <c r="F1610">
        <v>0.43295019157088099</v>
      </c>
      <c r="G1610">
        <v>0.57142857142857106</v>
      </c>
      <c r="H1610">
        <v>0.84236453201970407</v>
      </c>
      <c r="I1610">
        <v>8.7209302325581009E-2</v>
      </c>
    </row>
    <row r="1611" spans="1:9" x14ac:dyDescent="0.2">
      <c r="A1611" s="1" t="s">
        <v>1611</v>
      </c>
      <c r="B1611" t="str">
        <f>HYPERLINK("https://www.suredividend.com/sure-analysis-research-database/","Standard Motor Products, Inc.")</f>
        <v>Standard Motor Products, Inc.</v>
      </c>
      <c r="C1611">
        <v>1.6900311920204001E-2</v>
      </c>
      <c r="D1611">
        <v>0.130675510462191</v>
      </c>
      <c r="E1611">
        <v>0.14868356808584099</v>
      </c>
      <c r="F1611">
        <v>1.7921799922573999E-2</v>
      </c>
      <c r="G1611">
        <v>8.3262736291220014E-3</v>
      </c>
      <c r="H1611">
        <v>-0.109977412054131</v>
      </c>
      <c r="I1611">
        <v>-0.123481671114984</v>
      </c>
    </row>
    <row r="1612" spans="1:9" x14ac:dyDescent="0.2">
      <c r="A1612" s="1" t="s">
        <v>1612</v>
      </c>
      <c r="B1612" t="str">
        <f>HYPERLINK("https://www.suredividend.com/sure-analysis-research-database/","Simply Good Foods Co")</f>
        <v>Simply Good Foods Co</v>
      </c>
      <c r="C1612">
        <v>-0.14983083615272999</v>
      </c>
      <c r="D1612">
        <v>-9.3999484934329011E-2</v>
      </c>
      <c r="E1612">
        <v>4.2820439623170014E-3</v>
      </c>
      <c r="F1612">
        <v>-0.111616161616161</v>
      </c>
      <c r="G1612">
        <v>-6.7832538420773011E-2</v>
      </c>
      <c r="H1612">
        <v>-7.372301211163701E-2</v>
      </c>
      <c r="I1612">
        <v>0.70198355104015409</v>
      </c>
    </row>
    <row r="1613" spans="1:9" x14ac:dyDescent="0.2">
      <c r="A1613" s="1" t="s">
        <v>1613</v>
      </c>
      <c r="B1613" t="str">
        <f>HYPERLINK("https://www.suredividend.com/sure-analysis-research-database/","NuScale Power Corporation")</f>
        <v>NuScale Power Corporation</v>
      </c>
      <c r="C1613">
        <v>0.33668341708542698</v>
      </c>
      <c r="D1613">
        <v>3.90625E-2</v>
      </c>
      <c r="E1613">
        <v>-0.60119940029984997</v>
      </c>
      <c r="F1613">
        <v>-0.19148936170212699</v>
      </c>
      <c r="G1613">
        <v>-0.74762808349146104</v>
      </c>
      <c r="H1613">
        <v>-0.73426573426573405</v>
      </c>
      <c r="I1613">
        <v>-0.73266331658291406</v>
      </c>
    </row>
    <row r="1614" spans="1:9" x14ac:dyDescent="0.2">
      <c r="A1614" s="1" t="s">
        <v>1614</v>
      </c>
      <c r="B1614" t="str">
        <f>HYPERLINK("https://www.suredividend.com/sure-analysis-research-database/","SmartRent Inc")</f>
        <v>SmartRent Inc</v>
      </c>
      <c r="C1614">
        <v>-0.11854103343465</v>
      </c>
      <c r="D1614">
        <v>-6.8493150684930003E-3</v>
      </c>
      <c r="E1614">
        <v>-0.15697674418604601</v>
      </c>
      <c r="F1614">
        <v>-9.090909090909001E-2</v>
      </c>
      <c r="G1614">
        <v>0</v>
      </c>
      <c r="H1614">
        <v>-0.61126005361930202</v>
      </c>
      <c r="I1614">
        <v>-0.73873873873873808</v>
      </c>
    </row>
    <row r="1615" spans="1:9" x14ac:dyDescent="0.2">
      <c r="A1615" s="1" t="s">
        <v>1615</v>
      </c>
      <c r="B1615" t="str">
        <f>HYPERLINK("https://www.suredividend.com/sure-analysis-research-database/","Semtech Corp.")</f>
        <v>Semtech Corp.</v>
      </c>
      <c r="C1615">
        <v>-5.2830188679245001E-2</v>
      </c>
      <c r="D1615">
        <v>0.262099308610936</v>
      </c>
      <c r="E1615">
        <v>-0.18737353298259801</v>
      </c>
      <c r="F1615">
        <v>-8.3523505248744009E-2</v>
      </c>
      <c r="G1615">
        <v>-0.36994038280514602</v>
      </c>
      <c r="H1615">
        <v>-0.71240332283013408</v>
      </c>
      <c r="I1615">
        <v>-0.63074659801397504</v>
      </c>
    </row>
    <row r="1616" spans="1:9" x14ac:dyDescent="0.2">
      <c r="A1616" s="1" t="s">
        <v>1616</v>
      </c>
      <c r="B1616" t="str">
        <f>HYPERLINK("https://www.suredividend.com/sure-analysis-research-database/","Sanara MedTech Inc")</f>
        <v>Sanara MedTech Inc</v>
      </c>
      <c r="C1616">
        <v>2.195716996476E-2</v>
      </c>
      <c r="D1616">
        <v>0.18516189877396999</v>
      </c>
      <c r="E1616">
        <v>-5.1572327044025007E-2</v>
      </c>
      <c r="F1616">
        <v>-8.2725060827250008E-2</v>
      </c>
      <c r="G1616">
        <v>-0.104513064133016</v>
      </c>
      <c r="H1616">
        <v>0.58971115327851509</v>
      </c>
      <c r="I1616">
        <v>376</v>
      </c>
    </row>
    <row r="1617" spans="1:9" x14ac:dyDescent="0.2">
      <c r="A1617" s="1" t="s">
        <v>1617</v>
      </c>
      <c r="B1617" t="str">
        <f>HYPERLINK("https://www.suredividend.com/sure-analysis-research-database/","Sleep Number Corp")</f>
        <v>Sleep Number Corp</v>
      </c>
      <c r="C1617">
        <v>6.7441860465116008E-2</v>
      </c>
      <c r="D1617">
        <v>-2.0068317677199E-2</v>
      </c>
      <c r="E1617">
        <v>-0.5420989624900231</v>
      </c>
      <c r="F1617">
        <v>-0.226230613621038</v>
      </c>
      <c r="G1617">
        <v>-0.66140454411330707</v>
      </c>
      <c r="H1617">
        <v>-0.83142353459673801</v>
      </c>
      <c r="I1617">
        <v>-0.73590333716915901</v>
      </c>
    </row>
    <row r="1618" spans="1:9" x14ac:dyDescent="0.2">
      <c r="A1618" s="1" t="s">
        <v>1618</v>
      </c>
      <c r="B1618" t="str">
        <f>HYPERLINK("https://www.suredividend.com/sure-analysis-research-database/","Sun Country Airlines Holdings Inc")</f>
        <v>Sun Country Airlines Holdings Inc</v>
      </c>
      <c r="C1618">
        <v>0.2241653418124</v>
      </c>
      <c r="D1618">
        <v>4.8332198774675997E-2</v>
      </c>
      <c r="E1618">
        <v>7.1942446043160007E-3</v>
      </c>
      <c r="F1618">
        <v>-2.0979020979020001E-2</v>
      </c>
      <c r="G1618">
        <v>-0.221435793731041</v>
      </c>
      <c r="H1618">
        <v>-0.44364161849710898</v>
      </c>
      <c r="I1618">
        <v>-0.57669048927982403</v>
      </c>
    </row>
    <row r="1619" spans="1:9" x14ac:dyDescent="0.2">
      <c r="A1619" s="1" t="s">
        <v>1619</v>
      </c>
      <c r="B1619" t="str">
        <f>HYPERLINK("https://www.suredividend.com/sure-analysis-research-database/","Syndax Pharmaceuticals Inc")</f>
        <v>Syndax Pharmaceuticals Inc</v>
      </c>
      <c r="C1619">
        <v>0.10589941972920699</v>
      </c>
      <c r="D1619">
        <v>0.48313878080415001</v>
      </c>
      <c r="E1619">
        <v>0.28627671541057298</v>
      </c>
      <c r="F1619">
        <v>5.8306339657566007E-2</v>
      </c>
      <c r="G1619">
        <v>-0.12576452599388299</v>
      </c>
      <c r="H1619">
        <v>0.39111922141119199</v>
      </c>
      <c r="I1619">
        <v>2.7308319738988578</v>
      </c>
    </row>
    <row r="1620" spans="1:9" x14ac:dyDescent="0.2">
      <c r="A1620" s="1" t="s">
        <v>1620</v>
      </c>
      <c r="B1620" t="str">
        <f>HYPERLINK("https://www.suredividend.com/sure-analysis-research-database/","StoneX Group Inc")</f>
        <v>StoneX Group Inc</v>
      </c>
      <c r="C1620">
        <v>2.5084123585194001E-2</v>
      </c>
      <c r="D1620">
        <v>0.112795487715581</v>
      </c>
      <c r="E1620">
        <v>2.9282803973996002E-2</v>
      </c>
      <c r="F1620">
        <v>-9.2238927265339013E-2</v>
      </c>
      <c r="G1620">
        <v>-3.0848853200063999E-2</v>
      </c>
      <c r="H1620">
        <v>0.30898437499999898</v>
      </c>
      <c r="I1620">
        <v>0.55246699096594809</v>
      </c>
    </row>
    <row r="1621" spans="1:9" x14ac:dyDescent="0.2">
      <c r="A1621" s="1" t="s">
        <v>1621</v>
      </c>
      <c r="B1621" t="str">
        <f>HYPERLINK("https://www.suredividend.com/sure-analysis-research-database/","Security National Financial Corp.")</f>
        <v>Security National Financial Corp.</v>
      </c>
      <c r="C1621">
        <v>-3.9360393603936013E-2</v>
      </c>
      <c r="D1621">
        <v>-3.2218091697645002E-2</v>
      </c>
      <c r="E1621">
        <v>3.0343007915566999E-2</v>
      </c>
      <c r="F1621">
        <v>-0.13222222222222199</v>
      </c>
      <c r="G1621">
        <v>0.137373119547963</v>
      </c>
      <c r="H1621">
        <v>-0.12672056176131799</v>
      </c>
      <c r="I1621">
        <v>0.77871914002004106</v>
      </c>
    </row>
    <row r="1622" spans="1:9" x14ac:dyDescent="0.2">
      <c r="A1622" s="1" t="s">
        <v>1622</v>
      </c>
      <c r="B1622" t="str">
        <f>HYPERLINK("https://www.suredividend.com/sure-analysis-research-database/","Snap One Holdings Corp")</f>
        <v>Snap One Holdings Corp</v>
      </c>
      <c r="C1622">
        <v>-2.3014959723819998E-2</v>
      </c>
      <c r="D1622">
        <v>0.10259740259740199</v>
      </c>
      <c r="E1622">
        <v>-0.14673366834170801</v>
      </c>
      <c r="F1622">
        <v>-4.7138047138047007E-2</v>
      </c>
      <c r="G1622">
        <v>-0.25526315789473603</v>
      </c>
      <c r="H1622">
        <v>-0.57634730538922108</v>
      </c>
      <c r="I1622">
        <v>-0.48700906344410799</v>
      </c>
    </row>
    <row r="1623" spans="1:9" x14ac:dyDescent="0.2">
      <c r="A1623" s="1" t="s">
        <v>1623</v>
      </c>
      <c r="B1623" t="str">
        <f>HYPERLINK("https://www.suredividend.com/sure-analysis-research-database/","Solaris Oilfield Infrastructure Inc")</f>
        <v>Solaris Oilfield Infrastructure Inc</v>
      </c>
      <c r="C1623">
        <v>0.120863309352518</v>
      </c>
      <c r="D1623">
        <v>-9.9244938311575007E-2</v>
      </c>
      <c r="E1623">
        <v>-0.27492390889544499</v>
      </c>
      <c r="F1623">
        <v>-2.1356783919597E-2</v>
      </c>
      <c r="G1623">
        <v>-0.19064935064935001</v>
      </c>
      <c r="H1623">
        <v>-3.670686942842E-3</v>
      </c>
      <c r="I1623">
        <v>-0.400183255950043</v>
      </c>
    </row>
    <row r="1624" spans="1:9" x14ac:dyDescent="0.2">
      <c r="A1624" s="1" t="s">
        <v>1624</v>
      </c>
      <c r="B1624" t="str">
        <f>HYPERLINK("https://www.suredividend.com/sure-analysis-research-database/","Sonos Inc")</f>
        <v>Sonos Inc</v>
      </c>
      <c r="C1624">
        <v>0.13962033067973001</v>
      </c>
      <c r="D1624">
        <v>0.29958100558659201</v>
      </c>
      <c r="E1624">
        <v>0.35345454545454502</v>
      </c>
      <c r="F1624">
        <v>8.5764294049008011E-2</v>
      </c>
      <c r="G1624">
        <v>-9.7478176527643012E-2</v>
      </c>
      <c r="H1624">
        <v>-0.30869242199108399</v>
      </c>
      <c r="I1624">
        <v>0.63964757709251108</v>
      </c>
    </row>
    <row r="1625" spans="1:9" x14ac:dyDescent="0.2">
      <c r="A1625" s="1" t="s">
        <v>1625</v>
      </c>
      <c r="B1625" t="str">
        <f>HYPERLINK("https://www.suredividend.com/sure-analysis-research-database/","SoundHound AI Inc")</f>
        <v>SoundHound AI Inc</v>
      </c>
      <c r="C1625">
        <v>1.1567567567567569</v>
      </c>
      <c r="D1625">
        <v>0.79729729729729704</v>
      </c>
      <c r="E1625">
        <v>0.8472222222222221</v>
      </c>
      <c r="F1625">
        <v>0.88207547169811307</v>
      </c>
      <c r="G1625">
        <v>-7.4626865671630002E-3</v>
      </c>
      <c r="H1625">
        <v>-0.46800000000000003</v>
      </c>
      <c r="I1625">
        <v>-0.46800000000000003</v>
      </c>
    </row>
    <row r="1626" spans="1:9" x14ac:dyDescent="0.2">
      <c r="A1626" s="1" t="s">
        <v>1626</v>
      </c>
      <c r="B1626" t="str">
        <f>HYPERLINK("https://www.suredividend.com/sure-analysis-research-database/","Sovos Brands Inc")</f>
        <v>Sovos Brands Inc</v>
      </c>
      <c r="C1626">
        <v>1.4473089099954E-2</v>
      </c>
      <c r="D1626">
        <v>3.079044117647E-2</v>
      </c>
      <c r="E1626">
        <v>-3.5539760106609998E-3</v>
      </c>
      <c r="F1626">
        <v>1.8157058556512999E-2</v>
      </c>
      <c r="G1626">
        <v>0.68014981273408204</v>
      </c>
      <c r="H1626">
        <v>0.66025166543301206</v>
      </c>
      <c r="I1626">
        <v>0.65902366863905304</v>
      </c>
    </row>
    <row r="1627" spans="1:9" x14ac:dyDescent="0.2">
      <c r="A1627" s="1" t="s">
        <v>1627</v>
      </c>
      <c r="B1627" t="str">
        <f>HYPERLINK("https://www.suredividend.com/sure-analysis-research-database/","SP Plus Corp")</f>
        <v>SP Plus Corp</v>
      </c>
      <c r="C1627">
        <v>-2.5311526479750001E-3</v>
      </c>
      <c r="D1627">
        <v>1.2850929221035E-2</v>
      </c>
      <c r="E1627">
        <v>0.26806930693069297</v>
      </c>
      <c r="F1627">
        <v>-3.9024390243900002E-4</v>
      </c>
      <c r="G1627">
        <v>0.32377260981912098</v>
      </c>
      <c r="H1627">
        <v>0.89600296076980002</v>
      </c>
      <c r="I1627">
        <v>0.40125820568927711</v>
      </c>
    </row>
    <row r="1628" spans="1:9" x14ac:dyDescent="0.2">
      <c r="A1628" s="1" t="s">
        <v>1628</v>
      </c>
      <c r="B1628" t="str">
        <f>HYPERLINK("https://www.suredividend.com/sure-analysis-research-database/","Virgin Galactic Holdings Inc")</f>
        <v>Virgin Galactic Holdings Inc</v>
      </c>
      <c r="C1628">
        <v>-5.7291666666666012E-2</v>
      </c>
      <c r="D1628">
        <v>-0.19555555555555501</v>
      </c>
      <c r="E1628">
        <v>-0.36491228070175402</v>
      </c>
      <c r="F1628">
        <v>-0.261224489795918</v>
      </c>
      <c r="G1628">
        <v>-0.71585557299843006</v>
      </c>
      <c r="H1628">
        <v>-0.78452380952380907</v>
      </c>
      <c r="I1628">
        <v>-0.82149901380670609</v>
      </c>
    </row>
    <row r="1629" spans="1:9" x14ac:dyDescent="0.2">
      <c r="A1629" s="1" t="s">
        <v>1629</v>
      </c>
      <c r="B1629" t="str">
        <f>HYPERLINK("https://www.suredividend.com/sure-analysis-research-database/","South Plains Financial Inc")</f>
        <v>South Plains Financial Inc</v>
      </c>
      <c r="C1629">
        <v>-2.9763350724595E-2</v>
      </c>
      <c r="D1629">
        <v>6.0226016736960007E-3</v>
      </c>
      <c r="E1629">
        <v>2.175875124991E-3</v>
      </c>
      <c r="F1629">
        <v>-6.7621808451332005E-2</v>
      </c>
      <c r="G1629">
        <v>9.872294176252001E-3</v>
      </c>
      <c r="H1629">
        <v>-1.384478171145E-3</v>
      </c>
      <c r="I1629">
        <v>0.65186204853116303</v>
      </c>
    </row>
    <row r="1630" spans="1:9" x14ac:dyDescent="0.2">
      <c r="A1630" s="1" t="s">
        <v>1630</v>
      </c>
      <c r="B1630" t="str">
        <f>HYPERLINK("https://www.suredividend.com/sure-analysis-research-database/","Sphere Entertainment Co")</f>
        <v>Sphere Entertainment Co</v>
      </c>
      <c r="C1630">
        <v>0.29450757575757502</v>
      </c>
      <c r="D1630">
        <v>0.161756373937677</v>
      </c>
      <c r="E1630">
        <v>9.5060080106808012E-2</v>
      </c>
      <c r="F1630">
        <v>0.207597173144876</v>
      </c>
      <c r="G1630">
        <v>-0.33273673934266101</v>
      </c>
      <c r="H1630">
        <v>-0.48088607594936711</v>
      </c>
      <c r="I1630">
        <v>-0.53666252400858605</v>
      </c>
    </row>
    <row r="1631" spans="1:9" x14ac:dyDescent="0.2">
      <c r="A1631" s="1" t="s">
        <v>1631</v>
      </c>
      <c r="B1631" t="str">
        <f>HYPERLINK("https://www.suredividend.com/sure-analysis-research-database/","Sapiens International Corp NV")</f>
        <v>Sapiens International Corp NV</v>
      </c>
      <c r="C1631">
        <v>9.3750000000000014E-2</v>
      </c>
      <c r="D1631">
        <v>0.189723320158102</v>
      </c>
      <c r="E1631">
        <v>1.1764705882352001E-2</v>
      </c>
      <c r="F1631">
        <v>4.0082930200414001E-2</v>
      </c>
      <c r="G1631">
        <v>0.44560722707559902</v>
      </c>
      <c r="H1631">
        <v>0.13631644714240901</v>
      </c>
      <c r="I1631">
        <v>1.54946469711343</v>
      </c>
    </row>
    <row r="1632" spans="1:9" x14ac:dyDescent="0.2">
      <c r="A1632" s="1" t="s">
        <v>1632</v>
      </c>
      <c r="B1632" t="str">
        <f>HYPERLINK("https://www.suredividend.com/sure-analysis-research-database/","SiriusPoint Ltd")</f>
        <v>SiriusPoint Ltd</v>
      </c>
      <c r="C1632">
        <v>9.9373321396597006E-2</v>
      </c>
      <c r="D1632">
        <v>0.178502879078694</v>
      </c>
      <c r="E1632">
        <v>0.165085388994307</v>
      </c>
      <c r="F1632">
        <v>5.8620689655171997E-2</v>
      </c>
      <c r="G1632">
        <v>0.69847856154910004</v>
      </c>
      <c r="H1632">
        <v>0.49391727493917198</v>
      </c>
      <c r="I1632">
        <v>8.0985915492957E-2</v>
      </c>
    </row>
    <row r="1633" spans="1:9" x14ac:dyDescent="0.2">
      <c r="A1633" s="1" t="s">
        <v>1633</v>
      </c>
      <c r="B1633" t="str">
        <f>HYPERLINK("https://www.suredividend.com/sure-analysis-research-database/","Spok Holdings Inc")</f>
        <v>Spok Holdings Inc</v>
      </c>
      <c r="C1633">
        <v>-1.0249839846251999E-2</v>
      </c>
      <c r="D1633">
        <v>-3.3166458072589999E-2</v>
      </c>
      <c r="E1633">
        <v>0.227720254602957</v>
      </c>
      <c r="F1633">
        <v>-1.937984496124E-3</v>
      </c>
      <c r="G1633">
        <v>0.97119126296584513</v>
      </c>
      <c r="H1633">
        <v>1.403696558591075</v>
      </c>
      <c r="I1633">
        <v>0.6486154831136951</v>
      </c>
    </row>
    <row r="1634" spans="1:9" x14ac:dyDescent="0.2">
      <c r="A1634" s="1" t="s">
        <v>1634</v>
      </c>
      <c r="B1634" t="str">
        <f>HYPERLINK("https://www.suredividend.com/sure-analysis-research-database/","ARS Pharmaceuticals Inc")</f>
        <v>ARS Pharmaceuticals Inc</v>
      </c>
      <c r="C1634">
        <v>0.24297520661156999</v>
      </c>
      <c r="D1634">
        <v>0.57322175732217506</v>
      </c>
      <c r="E1634">
        <v>0.125748502994011</v>
      </c>
      <c r="F1634">
        <v>0.37226277372262701</v>
      </c>
      <c r="G1634">
        <v>-0.12862108922363799</v>
      </c>
      <c r="H1634">
        <v>0.9381443298969071</v>
      </c>
      <c r="I1634">
        <v>-0.69920000000000004</v>
      </c>
    </row>
    <row r="1635" spans="1:9" x14ac:dyDescent="0.2">
      <c r="A1635" s="1" t="s">
        <v>1635</v>
      </c>
      <c r="B1635" t="str">
        <f>HYPERLINK("https://www.suredividend.com/sure-analysis-research-database/","SPS Commerce Inc.")</f>
        <v>SPS Commerce Inc.</v>
      </c>
      <c r="C1635">
        <v>9.4630400692150007E-3</v>
      </c>
      <c r="D1635">
        <v>9.5668505693156006E-2</v>
      </c>
      <c r="E1635">
        <v>0.10868274141822</v>
      </c>
      <c r="F1635">
        <v>-3.6937680561286997E-2</v>
      </c>
      <c r="G1635">
        <v>0.229290135651257</v>
      </c>
      <c r="H1635">
        <v>0.48950769967286312</v>
      </c>
      <c r="I1635">
        <v>2.4883677473605532</v>
      </c>
    </row>
    <row r="1636" spans="1:9" x14ac:dyDescent="0.2">
      <c r="A1636" s="1" t="s">
        <v>1636</v>
      </c>
      <c r="B1636" t="str">
        <f>HYPERLINK("https://www.suredividend.com/sure-analysis-research-database/","Sprout Social Inc")</f>
        <v>Sprout Social Inc</v>
      </c>
      <c r="C1636">
        <v>6.2973953181667999E-2</v>
      </c>
      <c r="D1636">
        <v>0.164950316169828</v>
      </c>
      <c r="E1636">
        <v>0.38875726900710711</v>
      </c>
      <c r="F1636">
        <v>4.9479166666666012E-2</v>
      </c>
      <c r="G1636">
        <v>5.7222495491064007E-2</v>
      </c>
      <c r="H1636">
        <v>0.223529411764706</v>
      </c>
      <c r="I1636">
        <v>2.8843373493975899</v>
      </c>
    </row>
    <row r="1637" spans="1:9" x14ac:dyDescent="0.2">
      <c r="A1637" s="1" t="s">
        <v>1637</v>
      </c>
      <c r="B1637" t="str">
        <f>HYPERLINK("https://www.suredividend.com/sure-analysis-SPTN/","SpartanNash Co")</f>
        <v>SpartanNash Co</v>
      </c>
      <c r="C1637">
        <v>-6.7415730337070006E-3</v>
      </c>
      <c r="D1637">
        <v>2.1648783960575999E-2</v>
      </c>
      <c r="E1637">
        <v>-2.1123360603093999E-2</v>
      </c>
      <c r="F1637">
        <v>-3.7037037037036001E-2</v>
      </c>
      <c r="G1637">
        <v>-0.26189895697305099</v>
      </c>
      <c r="H1637">
        <v>-9.8507438333421002E-2</v>
      </c>
      <c r="I1637">
        <v>0.27124006304430298</v>
      </c>
    </row>
    <row r="1638" spans="1:9" x14ac:dyDescent="0.2">
      <c r="A1638" s="1" t="s">
        <v>1638</v>
      </c>
      <c r="B1638" t="str">
        <f>HYPERLINK("https://www.suredividend.com/sure-analysis-research-database/","Sportsman`s Warehouse Holdings Inc")</f>
        <v>Sportsman`s Warehouse Holdings Inc</v>
      </c>
      <c r="C1638">
        <v>1.8276762402088E-2</v>
      </c>
      <c r="D1638">
        <v>-0.21529175050301799</v>
      </c>
      <c r="E1638">
        <v>-0.37699680511182099</v>
      </c>
      <c r="F1638">
        <v>-8.4507042253521E-2</v>
      </c>
      <c r="G1638">
        <v>-0.605662285136501</v>
      </c>
      <c r="H1638">
        <v>-0.6375464684014871</v>
      </c>
      <c r="I1638">
        <v>-0.37299035369774902</v>
      </c>
    </row>
    <row r="1639" spans="1:9" x14ac:dyDescent="0.2">
      <c r="A1639" s="1" t="s">
        <v>1639</v>
      </c>
      <c r="B1639" t="str">
        <f>HYPERLINK("https://www.suredividend.com/sure-analysis-research-database/","Sunpower Corp")</f>
        <v>Sunpower Corp</v>
      </c>
      <c r="C1639">
        <v>0.145214521452145</v>
      </c>
      <c r="D1639">
        <v>-0.22544642857142799</v>
      </c>
      <c r="E1639">
        <v>-0.51939058171745101</v>
      </c>
      <c r="F1639">
        <v>-0.28157349896480299</v>
      </c>
      <c r="G1639">
        <v>-0.78698588090853205</v>
      </c>
      <c r="H1639">
        <v>-0.77884002549394504</v>
      </c>
      <c r="I1639">
        <v>-0.32064685383139502</v>
      </c>
    </row>
    <row r="1640" spans="1:9" x14ac:dyDescent="0.2">
      <c r="A1640" s="1" t="s">
        <v>1640</v>
      </c>
      <c r="B1640" t="str">
        <f>HYPERLINK("https://www.suredividend.com/sure-analysis-research-database/","SPX Technologies Inc")</f>
        <v>SPX Technologies Inc</v>
      </c>
      <c r="C1640">
        <v>7.8521021767220006E-2</v>
      </c>
      <c r="D1640">
        <v>0.24810213940648701</v>
      </c>
      <c r="E1640">
        <v>0.38670926517571802</v>
      </c>
      <c r="F1640">
        <v>7.4250074250074002E-2</v>
      </c>
      <c r="G1640">
        <v>0.47512234910277301</v>
      </c>
      <c r="H1640">
        <v>8.1184873949579828</v>
      </c>
      <c r="I1640">
        <v>8.1184873949579828</v>
      </c>
    </row>
    <row r="1641" spans="1:9" x14ac:dyDescent="0.2">
      <c r="A1641" s="1" t="s">
        <v>1641</v>
      </c>
      <c r="B1641" t="str">
        <f>HYPERLINK("https://www.suredividend.com/sure-analysis-research-database/","Squarespace Inc")</f>
        <v>Squarespace Inc</v>
      </c>
      <c r="C1641">
        <v>-1.3573232323232E-2</v>
      </c>
      <c r="D1641">
        <v>7.0205479452054007E-2</v>
      </c>
      <c r="E1641">
        <v>3.3741316572940001E-2</v>
      </c>
      <c r="F1641">
        <v>-5.3317176613147013E-2</v>
      </c>
      <c r="G1641">
        <v>0.34582256675279899</v>
      </c>
      <c r="H1641">
        <v>0.112099644128113</v>
      </c>
      <c r="I1641">
        <v>-0.284077892325315</v>
      </c>
    </row>
    <row r="1642" spans="1:9" x14ac:dyDescent="0.2">
      <c r="A1642" s="1" t="s">
        <v>1642</v>
      </c>
      <c r="B1642" t="str">
        <f>HYPERLINK("https://www.suredividend.com/sure-analysis-SR/","Spire Inc.")</f>
        <v>Spire Inc.</v>
      </c>
      <c r="C1642">
        <v>1.7349889436978998E-2</v>
      </c>
      <c r="D1642">
        <v>-7.1331696538990009E-3</v>
      </c>
      <c r="E1642">
        <v>3.5805515867861001E-2</v>
      </c>
      <c r="F1642">
        <v>-4.0583894770612E-2</v>
      </c>
      <c r="G1642">
        <v>-0.14166354531273001</v>
      </c>
      <c r="H1642">
        <v>3.5120723701858002E-2</v>
      </c>
      <c r="I1642">
        <v>-6.3516767762805001E-2</v>
      </c>
    </row>
    <row r="1643" spans="1:9" x14ac:dyDescent="0.2">
      <c r="A1643" s="1" t="s">
        <v>1643</v>
      </c>
      <c r="B1643" t="str">
        <f>HYPERLINK("https://www.suredividend.com/sure-analysis-SRCE/","1st Source Corp.")</f>
        <v>1st Source Corp.</v>
      </c>
      <c r="C1643">
        <v>-3.9042588275214E-2</v>
      </c>
      <c r="D1643">
        <v>3.6406848796854997E-2</v>
      </c>
      <c r="E1643">
        <v>0.15461433453352699</v>
      </c>
      <c r="F1643">
        <v>-7.0346430119226006E-2</v>
      </c>
      <c r="G1643">
        <v>6.4674599453406006E-2</v>
      </c>
      <c r="H1643">
        <v>0.109226094208303</v>
      </c>
      <c r="I1643">
        <v>0.24277962541571799</v>
      </c>
    </row>
    <row r="1644" spans="1:9" x14ac:dyDescent="0.2">
      <c r="A1644" s="1" t="s">
        <v>1644</v>
      </c>
      <c r="B1644" t="str">
        <f>HYPERLINK("https://www.suredividend.com/sure-analysis-research-database/","Surmodics, Inc.")</f>
        <v>Surmodics, Inc.</v>
      </c>
      <c r="C1644">
        <v>-7.0650574035914002E-2</v>
      </c>
      <c r="D1644">
        <v>-9.5933562428407004E-2</v>
      </c>
      <c r="E1644">
        <v>-0.171608501705589</v>
      </c>
      <c r="F1644">
        <v>-0.13149931224208999</v>
      </c>
      <c r="G1644">
        <v>0.25228084093613601</v>
      </c>
      <c r="H1644">
        <v>-0.27224527431996298</v>
      </c>
      <c r="I1644">
        <v>-0.45793269230769201</v>
      </c>
    </row>
    <row r="1645" spans="1:9" x14ac:dyDescent="0.2">
      <c r="A1645" s="1" t="s">
        <v>1645</v>
      </c>
      <c r="B1645" t="str">
        <f>HYPERLINK("https://www.suredividend.com/sure-analysis-research-database/","Stoneridge Inc.")</f>
        <v>Stoneridge Inc.</v>
      </c>
      <c r="C1645">
        <v>9.1499409681227009E-2</v>
      </c>
      <c r="D1645">
        <v>0.108513189448441</v>
      </c>
      <c r="E1645">
        <v>-0.12865221489161099</v>
      </c>
      <c r="F1645">
        <v>-5.5186509964231002E-2</v>
      </c>
      <c r="G1645">
        <v>-0.22603599832565899</v>
      </c>
      <c r="H1645">
        <v>0.15130759651307499</v>
      </c>
      <c r="I1645">
        <v>-0.33152566883586398</v>
      </c>
    </row>
    <row r="1646" spans="1:9" x14ac:dyDescent="0.2">
      <c r="A1646" s="1" t="s">
        <v>1646</v>
      </c>
      <c r="B1646" t="str">
        <f>HYPERLINK("https://www.suredividend.com/sure-analysis-research-database/","Scholar Rock Holding Corp")</f>
        <v>Scholar Rock Holding Corp</v>
      </c>
      <c r="C1646">
        <v>-3.320053120849E-3</v>
      </c>
      <c r="D1646">
        <v>0.27744680851063802</v>
      </c>
      <c r="E1646">
        <v>1.3343701399688961</v>
      </c>
      <c r="F1646">
        <v>-0.20159574468085101</v>
      </c>
      <c r="G1646">
        <v>0.53633572159672405</v>
      </c>
      <c r="H1646">
        <v>-0.10814022578728399</v>
      </c>
      <c r="I1646">
        <v>-0.166574125485841</v>
      </c>
    </row>
    <row r="1647" spans="1:9" x14ac:dyDescent="0.2">
      <c r="A1647" s="1" t="s">
        <v>1647</v>
      </c>
      <c r="B1647" t="str">
        <f>HYPERLINK("https://www.suredividend.com/sure-analysis-research-database/","SouthState Corporation")</f>
        <v>SouthState Corporation</v>
      </c>
      <c r="C1647">
        <v>4.3462063827145E-2</v>
      </c>
      <c r="D1647">
        <v>0.13138804065080001</v>
      </c>
      <c r="E1647">
        <v>0.19768757785753099</v>
      </c>
      <c r="F1647">
        <v>7.9999424205670008E-3</v>
      </c>
      <c r="G1647">
        <v>7.3001928160075003E-2</v>
      </c>
      <c r="H1647">
        <v>3.6262401420652013E-2</v>
      </c>
      <c r="I1647">
        <v>0.39656865922428303</v>
      </c>
    </row>
    <row r="1648" spans="1:9" x14ac:dyDescent="0.2">
      <c r="A1648" s="1" t="s">
        <v>1648</v>
      </c>
      <c r="B1648" t="str">
        <f>HYPERLINK("https://www.suredividend.com/sure-analysis-research-database/","Southern States Bancshares Inc")</f>
        <v>Southern States Bancshares Inc</v>
      </c>
      <c r="C1648">
        <v>-5.5991135929204003E-2</v>
      </c>
      <c r="D1648">
        <v>2.6289443139257001E-2</v>
      </c>
      <c r="E1648">
        <v>0.11731115791302001</v>
      </c>
      <c r="F1648">
        <v>-0.115315055116594</v>
      </c>
      <c r="G1648">
        <v>-0.10470715955906899</v>
      </c>
      <c r="H1648">
        <v>0.31465330042868001</v>
      </c>
      <c r="I1648">
        <v>0.37207640540511699</v>
      </c>
    </row>
    <row r="1649" spans="1:9" x14ac:dyDescent="0.2">
      <c r="A1649" s="1" t="s">
        <v>1649</v>
      </c>
      <c r="B1649" t="str">
        <f>HYPERLINK("https://www.suredividend.com/sure-analysis-research-database/","Simpson Manufacturing Co., Inc.")</f>
        <v>Simpson Manufacturing Co., Inc.</v>
      </c>
      <c r="C1649">
        <v>5.8026654966269013E-2</v>
      </c>
      <c r="D1649">
        <v>0.21856622175618501</v>
      </c>
      <c r="E1649">
        <v>0.26669052395194798</v>
      </c>
      <c r="F1649">
        <v>-2.4248371302553001E-2</v>
      </c>
      <c r="G1649">
        <v>0.74964423930699908</v>
      </c>
      <c r="H1649">
        <v>0.68049438296211606</v>
      </c>
      <c r="I1649">
        <v>2.3340995546122771</v>
      </c>
    </row>
    <row r="1650" spans="1:9" x14ac:dyDescent="0.2">
      <c r="A1650" s="1" t="s">
        <v>1650</v>
      </c>
      <c r="B1650" t="str">
        <f>HYPERLINK("https://www.suredividend.com/sure-analysis-research-database/","E.W. Scripps Co.")</f>
        <v>E.W. Scripps Co.</v>
      </c>
      <c r="C1650">
        <v>-0.24370860927152299</v>
      </c>
      <c r="D1650">
        <v>-0.25940337224383903</v>
      </c>
      <c r="E1650">
        <v>-0.32902467685076298</v>
      </c>
      <c r="F1650">
        <v>-0.28535669586983697</v>
      </c>
      <c r="G1650">
        <v>-0.61288135593220305</v>
      </c>
      <c r="H1650">
        <v>-0.74057246706042701</v>
      </c>
      <c r="I1650">
        <v>-0.70196152119674704</v>
      </c>
    </row>
    <row r="1651" spans="1:9" x14ac:dyDescent="0.2">
      <c r="A1651" s="1" t="s">
        <v>1651</v>
      </c>
      <c r="B1651" t="str">
        <f>HYPERLINK("https://www.suredividend.com/sure-analysis-research-database/","System1 Inc")</f>
        <v>System1 Inc</v>
      </c>
      <c r="C1651">
        <v>0.21153846153846101</v>
      </c>
      <c r="D1651">
        <v>0.61538461538461509</v>
      </c>
      <c r="E1651">
        <v>0.13855421686746899</v>
      </c>
      <c r="F1651">
        <v>-0.14864864864864799</v>
      </c>
      <c r="G1651">
        <v>-0.57142857142857106</v>
      </c>
      <c r="H1651">
        <v>-0.84867894315452308</v>
      </c>
      <c r="I1651">
        <v>-0.93723015609432003</v>
      </c>
    </row>
    <row r="1652" spans="1:9" x14ac:dyDescent="0.2">
      <c r="A1652" s="1" t="s">
        <v>1652</v>
      </c>
      <c r="B1652" t="str">
        <f>HYPERLINK("https://www.suredividend.com/sure-analysis-research-database/","SoundThinking Inc")</f>
        <v>SoundThinking Inc</v>
      </c>
      <c r="C1652">
        <v>-0.20377019748653499</v>
      </c>
      <c r="D1652">
        <v>-0.26542443064182197</v>
      </c>
      <c r="E1652">
        <v>-0.128683693516699</v>
      </c>
      <c r="F1652">
        <v>-0.305403288958496</v>
      </c>
      <c r="G1652">
        <v>-0.52465166130760998</v>
      </c>
      <c r="H1652">
        <v>-0.30431372549019597</v>
      </c>
      <c r="I1652">
        <v>-0.63810689514483809</v>
      </c>
    </row>
    <row r="1653" spans="1:9" x14ac:dyDescent="0.2">
      <c r="A1653" s="1" t="s">
        <v>1653</v>
      </c>
      <c r="B1653" t="str">
        <f>HYPERLINK("https://www.suredividend.com/sure-analysis-research-database/","Shutterstock Inc")</f>
        <v>Shutterstock Inc</v>
      </c>
      <c r="C1653">
        <v>-0.109353094332064</v>
      </c>
      <c r="D1653">
        <v>-2.3810934985852E-2</v>
      </c>
      <c r="E1653">
        <v>8.5772883756134011E-2</v>
      </c>
      <c r="F1653">
        <v>-7.8914664457332001E-2</v>
      </c>
      <c r="G1653">
        <v>-0.40261415080399199</v>
      </c>
      <c r="H1653">
        <v>-0.49391146011152798</v>
      </c>
      <c r="I1653">
        <v>0.111608269945582</v>
      </c>
    </row>
    <row r="1654" spans="1:9" x14ac:dyDescent="0.2">
      <c r="A1654" s="1" t="s">
        <v>1654</v>
      </c>
      <c r="B1654" t="str">
        <f>HYPERLINK("https://www.suredividend.com/sure-analysis-research-database/","Staar Surgical Co.")</f>
        <v>Staar Surgical Co.</v>
      </c>
      <c r="C1654">
        <v>6.0626937650706002E-2</v>
      </c>
      <c r="D1654">
        <v>-0.11421173762945901</v>
      </c>
      <c r="E1654">
        <v>-0.28478513356562102</v>
      </c>
      <c r="F1654">
        <v>-1.3457225248317E-2</v>
      </c>
      <c r="G1654">
        <v>-0.5616457858769931</v>
      </c>
      <c r="H1654">
        <v>-0.53510493733957409</v>
      </c>
      <c r="I1654">
        <v>-0.16080675933496799</v>
      </c>
    </row>
    <row r="1655" spans="1:9" x14ac:dyDescent="0.2">
      <c r="A1655" s="1" t="s">
        <v>1655</v>
      </c>
      <c r="B1655" t="str">
        <f>HYPERLINK("https://www.suredividend.com/sure-analysis-research-database/","S &amp; T Bancorp, Inc.")</f>
        <v>S &amp; T Bancorp, Inc.</v>
      </c>
      <c r="C1655">
        <v>-1.8460293247828E-2</v>
      </c>
      <c r="D1655">
        <v>0.12132182967857499</v>
      </c>
      <c r="E1655">
        <v>0.107388207527289</v>
      </c>
      <c r="F1655">
        <v>-3.6375083281886003E-2</v>
      </c>
      <c r="G1655">
        <v>-0.119394272850922</v>
      </c>
      <c r="H1655">
        <v>0.11829131612921499</v>
      </c>
      <c r="I1655">
        <v>-5.9726596049241007E-2</v>
      </c>
    </row>
    <row r="1656" spans="1:9" x14ac:dyDescent="0.2">
      <c r="A1656" s="1" t="s">
        <v>1656</v>
      </c>
      <c r="B1656" t="str">
        <f>HYPERLINK("https://www.suredividend.com/sure-analysis-research-database/","Stewart Information Services Corp.")</f>
        <v>Stewart Information Services Corp.</v>
      </c>
      <c r="C1656">
        <v>4.5531770302411997E-2</v>
      </c>
      <c r="D1656">
        <v>0.35768668191876302</v>
      </c>
      <c r="E1656">
        <v>0.38416242878446011</v>
      </c>
      <c r="F1656">
        <v>4.7489361702127003E-2</v>
      </c>
      <c r="G1656">
        <v>0.40427580761832099</v>
      </c>
      <c r="H1656">
        <v>9.9949122778220014E-3</v>
      </c>
      <c r="I1656">
        <v>0.68653104625764905</v>
      </c>
    </row>
    <row r="1657" spans="1:9" x14ac:dyDescent="0.2">
      <c r="A1657" s="1" t="s">
        <v>1657</v>
      </c>
      <c r="B1657" t="str">
        <f>HYPERLINK("https://www.suredividend.com/sure-analysis-research-database/","Stellar Bancorp Inc")</f>
        <v>Stellar Bancorp Inc</v>
      </c>
      <c r="C1657">
        <v>-7.0615034168564003E-2</v>
      </c>
      <c r="D1657">
        <v>2.5675403901588002E-2</v>
      </c>
      <c r="E1657">
        <v>8.200807970085601E-2</v>
      </c>
      <c r="F1657">
        <v>-0.12068965517241299</v>
      </c>
      <c r="G1657">
        <v>-0.15695512025787201</v>
      </c>
      <c r="H1657">
        <v>-0.18152547869726099</v>
      </c>
      <c r="I1657">
        <v>-0.22614663383269201</v>
      </c>
    </row>
    <row r="1658" spans="1:9" x14ac:dyDescent="0.2">
      <c r="A1658" s="1" t="s">
        <v>1658</v>
      </c>
      <c r="B1658" t="str">
        <f>HYPERLINK("https://www.suredividend.com/sure-analysis-research-database/","Stem Inc")</f>
        <v>Stem Inc</v>
      </c>
      <c r="C1658">
        <v>3.5587188612099002E-2</v>
      </c>
      <c r="D1658">
        <v>3.4482758620690002E-3</v>
      </c>
      <c r="E1658">
        <v>-0.47472924187725601</v>
      </c>
      <c r="F1658">
        <v>-0.249999999999999</v>
      </c>
      <c r="G1658">
        <v>-0.64939759036144507</v>
      </c>
      <c r="H1658">
        <v>-0.7270168855534701</v>
      </c>
      <c r="I1658">
        <v>-0.71273445212240805</v>
      </c>
    </row>
    <row r="1659" spans="1:9" x14ac:dyDescent="0.2">
      <c r="A1659" s="1" t="s">
        <v>1659</v>
      </c>
      <c r="B1659" t="str">
        <f>HYPERLINK("https://www.suredividend.com/sure-analysis-research-database/","StepStone Group Inc")</f>
        <v>StepStone Group Inc</v>
      </c>
      <c r="C1659">
        <v>5.4013727245597998E-2</v>
      </c>
      <c r="D1659">
        <v>0.35072603436473399</v>
      </c>
      <c r="E1659">
        <v>0.24325484964430599</v>
      </c>
      <c r="F1659">
        <v>0.109644989004084</v>
      </c>
      <c r="G1659">
        <v>0.27953397720603601</v>
      </c>
      <c r="H1659">
        <v>0.106790214370097</v>
      </c>
      <c r="I1659">
        <v>0.54494197719329707</v>
      </c>
    </row>
    <row r="1660" spans="1:9" x14ac:dyDescent="0.2">
      <c r="A1660" s="1" t="s">
        <v>1660</v>
      </c>
      <c r="B1660" t="str">
        <f>HYPERLINK("https://www.suredividend.com/sure-analysis-research-database/","Sterling Check Corp")</f>
        <v>Sterling Check Corp</v>
      </c>
      <c r="C1660">
        <v>-5.9558823529410998E-2</v>
      </c>
      <c r="D1660">
        <v>-5.4432348367020001E-3</v>
      </c>
      <c r="E1660">
        <v>-7.6534296028880011E-2</v>
      </c>
      <c r="F1660">
        <v>-8.1178160919540013E-2</v>
      </c>
      <c r="G1660">
        <v>-3.6171816126601003E-2</v>
      </c>
      <c r="H1660">
        <v>-0.39095238095238011</v>
      </c>
      <c r="I1660">
        <v>-0.52453531598513004</v>
      </c>
    </row>
    <row r="1661" spans="1:9" x14ac:dyDescent="0.2">
      <c r="A1661" s="1" t="s">
        <v>1661</v>
      </c>
      <c r="B1661" t="str">
        <f>HYPERLINK("https://www.suredividend.com/sure-analysis-research-database/","Stagwell Inc")</f>
        <v>Stagwell Inc</v>
      </c>
      <c r="C1661">
        <v>4.0723981900451997E-2</v>
      </c>
      <c r="D1661">
        <v>0.38276553106212402</v>
      </c>
      <c r="E1661">
        <v>0.34241245136186699</v>
      </c>
      <c r="F1661">
        <v>4.0723981900451997E-2</v>
      </c>
      <c r="G1661">
        <v>-3.0898876404494E-2</v>
      </c>
      <c r="H1661">
        <v>-5.7377049180327003E-2</v>
      </c>
      <c r="I1661">
        <v>0.24324324324324301</v>
      </c>
    </row>
    <row r="1662" spans="1:9" x14ac:dyDescent="0.2">
      <c r="A1662" s="1" t="s">
        <v>1662</v>
      </c>
      <c r="B1662" t="str">
        <f>HYPERLINK("https://www.suredividend.com/sure-analysis-research-database/","Star Holdings")</f>
        <v>Star Holdings</v>
      </c>
      <c r="C1662">
        <v>-2.8892455858748001E-2</v>
      </c>
      <c r="D1662">
        <v>-1.0629599345869999E-2</v>
      </c>
      <c r="E1662">
        <v>-8.4720121028744003E-2</v>
      </c>
      <c r="F1662">
        <v>-0.19225634178905199</v>
      </c>
      <c r="G1662">
        <v>-0.30419781483611202</v>
      </c>
      <c r="H1662">
        <v>-0.30419781483611202</v>
      </c>
      <c r="I1662">
        <v>-0.30419781483611202</v>
      </c>
    </row>
    <row r="1663" spans="1:9" x14ac:dyDescent="0.2">
      <c r="A1663" s="1" t="s">
        <v>1663</v>
      </c>
      <c r="B1663" t="str">
        <f>HYPERLINK("https://www.suredividend.com/sure-analysis-research-database/","Sunopta, Inc.")</f>
        <v>Sunopta, Inc.</v>
      </c>
      <c r="C1663">
        <v>3.1523642732048003E-2</v>
      </c>
      <c r="D1663">
        <v>0.19472616632859999</v>
      </c>
      <c r="E1663">
        <v>0.303097345132743</v>
      </c>
      <c r="F1663">
        <v>7.6782449725776011E-2</v>
      </c>
      <c r="G1663">
        <v>-0.23704663212435201</v>
      </c>
      <c r="H1663">
        <v>0.23221757322175701</v>
      </c>
      <c r="I1663">
        <v>0.36027713625865998</v>
      </c>
    </row>
    <row r="1664" spans="1:9" x14ac:dyDescent="0.2">
      <c r="A1664" s="1" t="s">
        <v>1664</v>
      </c>
      <c r="B1664" t="str">
        <f>HYPERLINK("https://www.suredividend.com/sure-analysis-research-database/","ONE Group Hospitality Inc")</f>
        <v>ONE Group Hospitality Inc</v>
      </c>
      <c r="C1664">
        <v>-0.168490153172866</v>
      </c>
      <c r="D1664">
        <v>-0.188034188034188</v>
      </c>
      <c r="E1664">
        <v>-0.45165945165945098</v>
      </c>
      <c r="F1664">
        <v>-0.37908496732026098</v>
      </c>
      <c r="G1664">
        <v>-0.580573951434878</v>
      </c>
      <c r="H1664">
        <v>-0.69255663430420711</v>
      </c>
      <c r="I1664">
        <v>0.31939863199194402</v>
      </c>
    </row>
    <row r="1665" spans="1:9" x14ac:dyDescent="0.2">
      <c r="A1665" s="1" t="s">
        <v>1665</v>
      </c>
      <c r="B1665" t="str">
        <f>HYPERLINK("https://www.suredividend.com/sure-analysis-research-database/","StoneCo Ltd")</f>
        <v>StoneCo Ltd</v>
      </c>
      <c r="C1665">
        <v>-2.7011156782149E-2</v>
      </c>
      <c r="D1665">
        <v>0.19122933141624701</v>
      </c>
      <c r="E1665">
        <v>0.34496753246753198</v>
      </c>
      <c r="F1665">
        <v>-8.0976150859678006E-2</v>
      </c>
      <c r="G1665">
        <v>0.78363832077502704</v>
      </c>
      <c r="H1665">
        <v>0.54715219421101702</v>
      </c>
      <c r="I1665">
        <v>-0.34036624203821603</v>
      </c>
    </row>
    <row r="1666" spans="1:9" x14ac:dyDescent="0.2">
      <c r="A1666" s="1" t="s">
        <v>1666</v>
      </c>
      <c r="B1666" t="str">
        <f>HYPERLINK("https://www.suredividend.com/sure-analysis-research-database/","Scorpio Tankers Inc")</f>
        <v>Scorpio Tankers Inc</v>
      </c>
      <c r="C1666">
        <v>1.5665796344647001E-2</v>
      </c>
      <c r="D1666">
        <v>0.18236025066823999</v>
      </c>
      <c r="E1666">
        <v>0.27134692025676799</v>
      </c>
      <c r="F1666">
        <v>8.7664473684210001E-2</v>
      </c>
      <c r="G1666">
        <v>8.5728733639366006E-2</v>
      </c>
      <c r="H1666">
        <v>3.3601527009474572</v>
      </c>
      <c r="I1666">
        <v>2.7279020474429498</v>
      </c>
    </row>
    <row r="1667" spans="1:9" x14ac:dyDescent="0.2">
      <c r="A1667" s="1" t="s">
        <v>1667</v>
      </c>
      <c r="B1667" t="str">
        <f>HYPERLINK("https://www.suredividend.com/sure-analysis-research-database/","Stoke Therapeutics Inc")</f>
        <v>Stoke Therapeutics Inc</v>
      </c>
      <c r="C1667">
        <v>9.1277890466531009E-2</v>
      </c>
      <c r="D1667">
        <v>0.29016786570743403</v>
      </c>
      <c r="E1667">
        <v>-1.8248175182481001E-2</v>
      </c>
      <c r="F1667">
        <v>2.2813688212927001E-2</v>
      </c>
      <c r="G1667">
        <v>-0.41458106637649611</v>
      </c>
      <c r="H1667">
        <v>-0.71579503433703107</v>
      </c>
      <c r="I1667">
        <v>-0.78959718420023406</v>
      </c>
    </row>
    <row r="1668" spans="1:9" x14ac:dyDescent="0.2">
      <c r="A1668" s="1" t="s">
        <v>1668</v>
      </c>
      <c r="B1668" t="str">
        <f>HYPERLINK("https://www.suredividend.com/sure-analysis-research-database/","Sitio Royalties Corp")</f>
        <v>Sitio Royalties Corp</v>
      </c>
      <c r="C1668">
        <v>-1.382488479262E-3</v>
      </c>
      <c r="D1668">
        <v>-2.1670428893905001E-2</v>
      </c>
      <c r="E1668">
        <v>-9.1556971577093013E-2</v>
      </c>
      <c r="F1668">
        <v>-7.8264568268821E-2</v>
      </c>
      <c r="G1668">
        <v>-3.8034696450450003E-2</v>
      </c>
      <c r="H1668">
        <v>-0.21479248345882601</v>
      </c>
      <c r="I1668">
        <v>-0.21479248345882601</v>
      </c>
    </row>
    <row r="1669" spans="1:9" x14ac:dyDescent="0.2">
      <c r="A1669" s="1" t="s">
        <v>1669</v>
      </c>
      <c r="B1669" t="str">
        <f>HYPERLINK("https://www.suredividend.com/sure-analysis-research-database/","Strategic Education Inc")</f>
        <v>Strategic Education Inc</v>
      </c>
      <c r="C1669">
        <v>-7.7167019027480008E-3</v>
      </c>
      <c r="D1669">
        <v>6.6070960099849002E-2</v>
      </c>
      <c r="E1669">
        <v>0.29057005333036301</v>
      </c>
      <c r="F1669">
        <v>1.6239038648910999E-2</v>
      </c>
      <c r="G1669">
        <v>4.9128073647962997E-2</v>
      </c>
      <c r="H1669">
        <v>0.97940257341312509</v>
      </c>
      <c r="I1669">
        <v>-8.8409781507741009E-2</v>
      </c>
    </row>
    <row r="1670" spans="1:9" x14ac:dyDescent="0.2">
      <c r="A1670" s="1" t="s">
        <v>1670</v>
      </c>
      <c r="B1670" t="str">
        <f>HYPERLINK("https://www.suredividend.com/sure-analysis-research-database/","Sterling Infrastructure Inc")</f>
        <v>Sterling Infrastructure Inc</v>
      </c>
      <c r="C1670">
        <v>7.7952755905511012E-2</v>
      </c>
      <c r="D1670">
        <v>0.27744945567651602</v>
      </c>
      <c r="E1670">
        <v>6.6476239937678011E-2</v>
      </c>
      <c r="F1670">
        <v>-6.5847833503923009E-2</v>
      </c>
      <c r="G1670">
        <v>1.144647519582245</v>
      </c>
      <c r="H1670">
        <v>1.7834632328024389</v>
      </c>
      <c r="I1670">
        <v>4.7041666666666666</v>
      </c>
    </row>
    <row r="1671" spans="1:9" x14ac:dyDescent="0.2">
      <c r="A1671" s="1" t="s">
        <v>1671</v>
      </c>
      <c r="B1671" t="str">
        <f>HYPERLINK("https://www.suredividend.com/sure-analysis-research-database/","Sutro Biopharma Inc")</f>
        <v>Sutro Biopharma Inc</v>
      </c>
      <c r="C1671">
        <v>0.16009852216748699</v>
      </c>
      <c r="D1671">
        <v>0.70036101083032409</v>
      </c>
      <c r="E1671">
        <v>5.3691275167784998E-2</v>
      </c>
      <c r="F1671">
        <v>9.7902097902097002E-2</v>
      </c>
      <c r="G1671">
        <v>-0.24276527331189701</v>
      </c>
      <c r="H1671">
        <v>-0.44391971664698898</v>
      </c>
      <c r="I1671">
        <v>-0.530408773678963</v>
      </c>
    </row>
    <row r="1672" spans="1:9" x14ac:dyDescent="0.2">
      <c r="A1672" s="1" t="s">
        <v>1672</v>
      </c>
      <c r="B1672" t="str">
        <f>HYPERLINK("https://www.suredividend.com/sure-analysis-research-database/","Stratus Properties Inc.")</f>
        <v>Stratus Properties Inc.</v>
      </c>
      <c r="C1672">
        <v>-8.4843492586491001E-2</v>
      </c>
      <c r="D1672">
        <v>-0.183088235294117</v>
      </c>
      <c r="E1672">
        <v>-0.194927536231884</v>
      </c>
      <c r="F1672">
        <v>-0.23007623007622999</v>
      </c>
      <c r="G1672">
        <v>-2.9694323144104001E-2</v>
      </c>
      <c r="H1672">
        <v>-0.39962172385841599</v>
      </c>
      <c r="I1672">
        <v>-0.14898506319417801</v>
      </c>
    </row>
    <row r="1673" spans="1:9" x14ac:dyDescent="0.2">
      <c r="A1673" s="1" t="s">
        <v>1673</v>
      </c>
      <c r="B1673" t="str">
        <f>HYPERLINK("https://www.suredividend.com/sure-analysis-research-database/","Summit Materials Inc")</f>
        <v>Summit Materials Inc</v>
      </c>
      <c r="C1673">
        <v>0.100165107319757</v>
      </c>
      <c r="D1673">
        <v>0.18249038745933099</v>
      </c>
      <c r="E1673">
        <v>0.10655964572377501</v>
      </c>
      <c r="F1673">
        <v>3.9521580863234013E-2</v>
      </c>
      <c r="G1673">
        <v>0.30867430441898502</v>
      </c>
      <c r="H1673">
        <v>0.146958751943633</v>
      </c>
      <c r="I1673">
        <v>1.2958539106466049</v>
      </c>
    </row>
    <row r="1674" spans="1:9" x14ac:dyDescent="0.2">
      <c r="A1674" s="1" t="s">
        <v>1674</v>
      </c>
      <c r="B1674" t="str">
        <f>HYPERLINK("https://www.suredividend.com/sure-analysis-research-database/","Supernus Pharmaceuticals Inc")</f>
        <v>Supernus Pharmaceuticals Inc</v>
      </c>
      <c r="C1674">
        <v>1.3733285146367E-2</v>
      </c>
      <c r="D1674">
        <v>2.7096301720981E-2</v>
      </c>
      <c r="E1674">
        <v>-9.4284791733936002E-2</v>
      </c>
      <c r="F1674">
        <v>-3.0753282653766E-2</v>
      </c>
      <c r="G1674">
        <v>-0.28625954198473202</v>
      </c>
      <c r="H1674">
        <v>-0.14741641337385999</v>
      </c>
      <c r="I1674">
        <v>-0.25517790759426401</v>
      </c>
    </row>
    <row r="1675" spans="1:9" x14ac:dyDescent="0.2">
      <c r="A1675" s="1" t="s">
        <v>1675</v>
      </c>
      <c r="B1675" t="str">
        <f>HYPERLINK("https://www.suredividend.com/sure-analysis-research-database/","Service Properties Trust")</f>
        <v>Service Properties Trust</v>
      </c>
      <c r="C1675">
        <v>-4.1457286432160012E-2</v>
      </c>
      <c r="D1675">
        <v>8.5209574876616012E-2</v>
      </c>
      <c r="E1675">
        <v>-1.387325602701E-3</v>
      </c>
      <c r="F1675">
        <v>-8.3791637647397013E-2</v>
      </c>
      <c r="G1675">
        <v>-0.167548577850027</v>
      </c>
      <c r="H1675">
        <v>3.0524041058887001E-2</v>
      </c>
      <c r="I1675">
        <v>-0.7115115584425401</v>
      </c>
    </row>
    <row r="1676" spans="1:9" x14ac:dyDescent="0.2">
      <c r="A1676" s="1" t="s">
        <v>1676</v>
      </c>
      <c r="B1676" t="str">
        <f>HYPERLINK("https://www.suredividend.com/sure-analysis-research-database/","Savara Inc")</f>
        <v>Savara Inc</v>
      </c>
      <c r="C1676">
        <v>9.2970521541950013E-2</v>
      </c>
      <c r="D1676">
        <v>0.28533333333333299</v>
      </c>
      <c r="E1676">
        <v>0.36158192090395402</v>
      </c>
      <c r="F1676">
        <v>2.5531914893616999E-2</v>
      </c>
      <c r="G1676">
        <v>0.75272727272727202</v>
      </c>
      <c r="H1676">
        <v>3.342342342342342</v>
      </c>
      <c r="I1676">
        <v>-0.28166915052160901</v>
      </c>
    </row>
    <row r="1677" spans="1:9" x14ac:dyDescent="0.2">
      <c r="A1677" s="1" t="s">
        <v>1677</v>
      </c>
      <c r="B1677" t="str">
        <f>HYPERLINK("https://www.suredividend.com/sure-analysis-research-database/","Savers Value Village Inc")</f>
        <v>Savers Value Village Inc</v>
      </c>
      <c r="C1677">
        <v>0.12030075187969901</v>
      </c>
      <c r="D1677">
        <v>0.52279874213836408</v>
      </c>
      <c r="E1677">
        <v>-0.25413939160569798</v>
      </c>
      <c r="F1677">
        <v>0.114499424626006</v>
      </c>
      <c r="G1677">
        <v>-0.15451767786992501</v>
      </c>
      <c r="H1677">
        <v>-0.15451767786992501</v>
      </c>
      <c r="I1677">
        <v>-0.15451767786992501</v>
      </c>
    </row>
    <row r="1678" spans="1:9" x14ac:dyDescent="0.2">
      <c r="A1678" s="1" t="s">
        <v>1678</v>
      </c>
      <c r="B1678" t="str">
        <f>HYPERLINK("https://www.suredividend.com/sure-analysis-research-database/","Smith &amp; Wesson Brands Inc")</f>
        <v>Smith &amp; Wesson Brands Inc</v>
      </c>
      <c r="C1678">
        <v>3.2749428789031997E-2</v>
      </c>
      <c r="D1678">
        <v>-1.4706737197000001E-2</v>
      </c>
      <c r="E1678">
        <v>8.1098319354530005E-2</v>
      </c>
      <c r="F1678">
        <v>0</v>
      </c>
      <c r="G1678">
        <v>0.30178082849325499</v>
      </c>
      <c r="H1678">
        <v>-0.11790535046349</v>
      </c>
      <c r="I1678">
        <v>5.1978277734678002E-2</v>
      </c>
    </row>
    <row r="1679" spans="1:9" x14ac:dyDescent="0.2">
      <c r="A1679" s="1" t="s">
        <v>1679</v>
      </c>
      <c r="B1679" t="str">
        <f>HYPERLINK("https://www.suredividend.com/sure-analysis-research-database/","SolarWinds Corp")</f>
        <v>SolarWinds Corp</v>
      </c>
      <c r="C1679">
        <v>4.1280539174389001E-2</v>
      </c>
      <c r="D1679">
        <v>6.6436583261432008E-2</v>
      </c>
      <c r="E1679">
        <v>0.15083798882681501</v>
      </c>
      <c r="F1679">
        <v>-1.0408326661328999E-2</v>
      </c>
      <c r="G1679">
        <v>0.38565022421524597</v>
      </c>
      <c r="H1679">
        <v>-8.7822878228782E-2</v>
      </c>
      <c r="I1679">
        <v>-0.6849887987521881</v>
      </c>
    </row>
    <row r="1680" spans="1:9" x14ac:dyDescent="0.2">
      <c r="A1680" s="1" t="s">
        <v>1680</v>
      </c>
      <c r="B1680" t="str">
        <f>HYPERLINK("https://www.suredividend.com/sure-analysis-research-database/","Latham Group Inc")</f>
        <v>Latham Group Inc</v>
      </c>
      <c r="C1680">
        <v>0.11864406779661001</v>
      </c>
      <c r="D1680">
        <v>1.9305019305018999E-2</v>
      </c>
      <c r="E1680">
        <v>-0.33668341708542698</v>
      </c>
      <c r="F1680">
        <v>3.802281368821E-3</v>
      </c>
      <c r="G1680">
        <v>-0.34164588528678203</v>
      </c>
      <c r="H1680">
        <v>-0.84397163120567309</v>
      </c>
      <c r="I1680">
        <v>-0.90311926605504611</v>
      </c>
    </row>
    <row r="1681" spans="1:9" x14ac:dyDescent="0.2">
      <c r="A1681" s="1" t="s">
        <v>1681</v>
      </c>
      <c r="B1681" t="str">
        <f>HYPERLINK("https://www.suredividend.com/sure-analysis-research-database/","Swk Holdings Corp")</f>
        <v>Swk Holdings Corp</v>
      </c>
      <c r="C1681">
        <v>-3.3760186263096001E-2</v>
      </c>
      <c r="D1681">
        <v>1.0346926354230001E-2</v>
      </c>
      <c r="E1681">
        <v>3.8148843026891012E-2</v>
      </c>
      <c r="F1681">
        <v>-5.3051911009697007E-2</v>
      </c>
      <c r="G1681">
        <v>-0.126775381378221</v>
      </c>
      <c r="H1681">
        <v>-0.12308505018489101</v>
      </c>
      <c r="I1681">
        <v>13.434782608695651</v>
      </c>
    </row>
    <row r="1682" spans="1:9" x14ac:dyDescent="0.2">
      <c r="A1682" s="1" t="s">
        <v>1682</v>
      </c>
      <c r="B1682" t="str">
        <f>HYPERLINK("https://www.suredividend.com/sure-analysis-research-database/","SpringWorks Therapeutics Inc")</f>
        <v>SpringWorks Therapeutics Inc</v>
      </c>
      <c r="C1682">
        <v>0.22540160642570201</v>
      </c>
      <c r="D1682">
        <v>1.1971197119711969</v>
      </c>
      <c r="E1682">
        <v>0.74731567644953401</v>
      </c>
      <c r="F1682">
        <v>0.33753424657534198</v>
      </c>
      <c r="G1682">
        <v>0.61335095836087206</v>
      </c>
      <c r="H1682">
        <v>-0.121942446043165</v>
      </c>
      <c r="I1682">
        <v>1.157313300927971</v>
      </c>
    </row>
    <row r="1683" spans="1:9" x14ac:dyDescent="0.2">
      <c r="A1683" s="1" t="s">
        <v>1683</v>
      </c>
      <c r="B1683" t="str">
        <f>HYPERLINK("https://www.suredividend.com/sure-analysis-SWX/","Southwest Gas Holdings Inc")</f>
        <v>Southwest Gas Holdings Inc</v>
      </c>
      <c r="C1683">
        <v>2.9779244728331999E-2</v>
      </c>
      <c r="D1683">
        <v>4.3576292790435997E-2</v>
      </c>
      <c r="E1683">
        <v>-5.2665208046930008E-3</v>
      </c>
      <c r="F1683">
        <v>-1.638559599215E-2</v>
      </c>
      <c r="G1683">
        <v>-1.2501902115152E-2</v>
      </c>
      <c r="H1683">
        <v>1.2170675125228E-2</v>
      </c>
      <c r="I1683">
        <v>-0.118324688195847</v>
      </c>
    </row>
    <row r="1684" spans="1:9" x14ac:dyDescent="0.2">
      <c r="A1684" s="1" t="s">
        <v>1684</v>
      </c>
      <c r="B1684" t="str">
        <f>HYPERLINK("https://www.suredividend.com/sure-analysis-research-database/","SunCoke Energy Inc")</f>
        <v>SunCoke Energy Inc</v>
      </c>
      <c r="C1684">
        <v>4.0202417767781003E-2</v>
      </c>
      <c r="D1684">
        <v>0.220802566757307</v>
      </c>
      <c r="E1684">
        <v>0.194638045826003</v>
      </c>
      <c r="F1684">
        <v>8.2406998487170001E-3</v>
      </c>
      <c r="G1684">
        <v>0.144899701237729</v>
      </c>
      <c r="H1684">
        <v>0.50351708096292302</v>
      </c>
      <c r="I1684">
        <v>0.26406314425399002</v>
      </c>
    </row>
    <row r="1685" spans="1:9" x14ac:dyDescent="0.2">
      <c r="A1685" s="1" t="s">
        <v>1685</v>
      </c>
      <c r="B1685" t="str">
        <f>HYPERLINK("https://www.suredividend.com/sure-analysis-SXI/","Standex International Corp.")</f>
        <v>Standex International Corp.</v>
      </c>
      <c r="C1685">
        <v>6.8533995573387005E-2</v>
      </c>
      <c r="D1685">
        <v>0.17734932941225601</v>
      </c>
      <c r="E1685">
        <v>2.2309150818922999E-2</v>
      </c>
      <c r="F1685">
        <v>1.6112808639045999E-2</v>
      </c>
      <c r="G1685">
        <v>0.38175824478335002</v>
      </c>
      <c r="H1685">
        <v>0.54553467301482206</v>
      </c>
      <c r="I1685">
        <v>1.113554540286755</v>
      </c>
    </row>
    <row r="1686" spans="1:9" x14ac:dyDescent="0.2">
      <c r="A1686" s="1" t="s">
        <v>1686</v>
      </c>
      <c r="B1686" t="str">
        <f>HYPERLINK("https://www.suredividend.com/sure-analysis-SXT/","Sensient Technologies Corp.")</f>
        <v>Sensient Technologies Corp.</v>
      </c>
      <c r="C1686">
        <v>7.4416919225194E-2</v>
      </c>
      <c r="D1686">
        <v>0.12736278683113</v>
      </c>
      <c r="E1686">
        <v>0.12947295879319701</v>
      </c>
      <c r="F1686">
        <v>-5.1883325047040003E-3</v>
      </c>
      <c r="G1686">
        <v>-0.13620039409284401</v>
      </c>
      <c r="H1686">
        <v>-0.15636316606311401</v>
      </c>
      <c r="I1686">
        <v>0.13623299482659501</v>
      </c>
    </row>
    <row r="1687" spans="1:9" x14ac:dyDescent="0.2">
      <c r="A1687" s="1" t="s">
        <v>1687</v>
      </c>
      <c r="B1687" t="str">
        <f>HYPERLINK("https://www.suredividend.com/sure-analysis-SYBT/","Stock Yards Bancorp Inc")</f>
        <v>Stock Yards Bancorp Inc</v>
      </c>
      <c r="C1687">
        <v>-3.5903712770296997E-2</v>
      </c>
      <c r="D1687">
        <v>2.8404058779624E-2</v>
      </c>
      <c r="E1687">
        <v>1.7431534349616001E-2</v>
      </c>
      <c r="F1687">
        <v>-8.2151874150320006E-2</v>
      </c>
      <c r="G1687">
        <v>-0.17846986100391399</v>
      </c>
      <c r="H1687">
        <v>-8.7396376233685014E-2</v>
      </c>
      <c r="I1687">
        <v>0.47490231814947398</v>
      </c>
    </row>
    <row r="1688" spans="1:9" x14ac:dyDescent="0.2">
      <c r="A1688" s="1" t="s">
        <v>1688</v>
      </c>
      <c r="B1688" t="str">
        <f>HYPERLINK("https://www.suredividend.com/sure-analysis-research-database/","Synaptics Inc")</f>
        <v>Synaptics Inc</v>
      </c>
      <c r="C1688">
        <v>-3.0582166543846E-2</v>
      </c>
      <c r="D1688">
        <v>-7.7314727512720009E-3</v>
      </c>
      <c r="E1688">
        <v>0.19279156749404899</v>
      </c>
      <c r="F1688">
        <v>-7.7489481065918006E-2</v>
      </c>
      <c r="G1688">
        <v>-0.13765978367748199</v>
      </c>
      <c r="H1688">
        <v>-0.51841852377247899</v>
      </c>
      <c r="I1688">
        <v>1.558094312105007</v>
      </c>
    </row>
    <row r="1689" spans="1:9" x14ac:dyDescent="0.2">
      <c r="A1689" s="1" t="s">
        <v>1689</v>
      </c>
      <c r="B1689" t="str">
        <f>HYPERLINK("https://www.suredividend.com/sure-analysis-research-database/","Talos Energy Inc")</f>
        <v>Talos Energy Inc</v>
      </c>
      <c r="C1689">
        <v>2.3566378633149001E-2</v>
      </c>
      <c r="D1689">
        <v>-0.107534246575342</v>
      </c>
      <c r="E1689">
        <v>-0.23532863849765201</v>
      </c>
      <c r="F1689">
        <v>-8.4328882642305009E-2</v>
      </c>
      <c r="G1689">
        <v>-0.25839499146271999</v>
      </c>
      <c r="H1689">
        <v>7.1546052631578011E-2</v>
      </c>
      <c r="I1689">
        <v>-0.42573821066549111</v>
      </c>
    </row>
    <row r="1690" spans="1:9" x14ac:dyDescent="0.2">
      <c r="A1690" s="1" t="s">
        <v>1690</v>
      </c>
      <c r="B1690" t="str">
        <f>HYPERLINK("https://www.suredividend.com/sure-analysis-research-database/","Taro Pharmaceutical Industries")</f>
        <v>Taro Pharmaceutical Industries</v>
      </c>
      <c r="C1690">
        <v>-1.8894662257910001E-3</v>
      </c>
      <c r="D1690">
        <v>0.179458554284119</v>
      </c>
      <c r="E1690">
        <v>0.13816321034204099</v>
      </c>
      <c r="F1690">
        <v>1.1488750598372E-2</v>
      </c>
      <c r="G1690">
        <v>0.38104575163398602</v>
      </c>
      <c r="H1690">
        <v>-0.111811685582177</v>
      </c>
      <c r="I1690">
        <v>-0.58722406720062503</v>
      </c>
    </row>
    <row r="1691" spans="1:9" x14ac:dyDescent="0.2">
      <c r="A1691" s="1" t="s">
        <v>1691</v>
      </c>
      <c r="B1691" t="str">
        <f>HYPERLINK("https://www.suredividend.com/sure-analysis-research-database/","Tarsus Pharmaceuticals Inc")</f>
        <v>Tarsus Pharmaceuticals Inc</v>
      </c>
      <c r="C1691">
        <v>0.29557069846678002</v>
      </c>
      <c r="D1691">
        <v>0.7382857142857141</v>
      </c>
      <c r="E1691">
        <v>0.77686915887850405</v>
      </c>
      <c r="F1691">
        <v>0.50222222222222201</v>
      </c>
      <c r="G1691">
        <v>0.96384764364105813</v>
      </c>
      <c r="H1691">
        <v>0.90125000000000011</v>
      </c>
      <c r="I1691">
        <v>0.47813411078717211</v>
      </c>
    </row>
    <row r="1692" spans="1:9" x14ac:dyDescent="0.2">
      <c r="A1692" s="1" t="s">
        <v>1692</v>
      </c>
      <c r="B1692" t="str">
        <f>HYPERLINK("https://www.suredividend.com/sure-analysis-research-database/","Carrols Restaurant Group Inc.")</f>
        <v>Carrols Restaurant Group Inc.</v>
      </c>
      <c r="C1692">
        <v>5.3191489361700001E-3</v>
      </c>
      <c r="D1692">
        <v>0.29807692307692202</v>
      </c>
      <c r="E1692">
        <v>0.29834443910146302</v>
      </c>
      <c r="F1692">
        <v>0.19923857868020201</v>
      </c>
      <c r="G1692">
        <v>3.8243822748621601</v>
      </c>
      <c r="H1692">
        <v>2.4187106576948119</v>
      </c>
      <c r="I1692">
        <v>6.7603597089791009E-2</v>
      </c>
    </row>
    <row r="1693" spans="1:9" x14ac:dyDescent="0.2">
      <c r="A1693" s="1" t="s">
        <v>1693</v>
      </c>
      <c r="B1693" t="str">
        <f>HYPERLINK("https://www.suredividend.com/sure-analysis-research-database/","Bancorp Inc. (The)")</f>
        <v>Bancorp Inc. (The)</v>
      </c>
      <c r="C1693">
        <v>0.1140081799591</v>
      </c>
      <c r="D1693">
        <v>0.108623759857542</v>
      </c>
      <c r="E1693">
        <v>0.23561100085058101</v>
      </c>
      <c r="F1693">
        <v>0.130186721991701</v>
      </c>
      <c r="G1693">
        <v>0.17276641550053801</v>
      </c>
      <c r="H1693">
        <v>0.48737201365187699</v>
      </c>
      <c r="I1693">
        <v>3.773274917853231</v>
      </c>
    </row>
    <row r="1694" spans="1:9" x14ac:dyDescent="0.2">
      <c r="A1694" s="1" t="s">
        <v>1694</v>
      </c>
      <c r="B1694" t="str">
        <f>HYPERLINK("https://www.suredividend.com/sure-analysis-research-database/","TrueBlue Inc")</f>
        <v>TrueBlue Inc</v>
      </c>
      <c r="C1694">
        <v>-8.8256227758007011E-2</v>
      </c>
      <c r="D1694">
        <v>-7.9079798705966001E-2</v>
      </c>
      <c r="E1694">
        <v>-0.15723684210526301</v>
      </c>
      <c r="F1694">
        <v>-0.16492829204693599</v>
      </c>
      <c r="G1694">
        <v>-0.32896804609743302</v>
      </c>
      <c r="H1694">
        <v>-0.52201492537313399</v>
      </c>
      <c r="I1694">
        <v>-0.45926551287463002</v>
      </c>
    </row>
    <row r="1695" spans="1:9" x14ac:dyDescent="0.2">
      <c r="A1695" s="1" t="s">
        <v>1695</v>
      </c>
      <c r="B1695" t="str">
        <f>HYPERLINK("https://www.suredividend.com/sure-analysis-research-database/","Theravance Biopharma Inc")</f>
        <v>Theravance Biopharma Inc</v>
      </c>
      <c r="C1695">
        <v>-5.8078141499472012E-2</v>
      </c>
      <c r="D1695">
        <v>-0.139826422372227</v>
      </c>
      <c r="E1695">
        <v>-8.041237113402E-2</v>
      </c>
      <c r="F1695">
        <v>-0.20640569395017699</v>
      </c>
      <c r="G1695">
        <v>-0.1455938697318</v>
      </c>
      <c r="H1695">
        <v>-7.1800208116545E-2</v>
      </c>
      <c r="I1695">
        <v>-0.66962962962962902</v>
      </c>
    </row>
    <row r="1696" spans="1:9" x14ac:dyDescent="0.2">
      <c r="A1696" s="1" t="s">
        <v>1696</v>
      </c>
      <c r="B1696" t="str">
        <f>HYPERLINK("https://www.suredividend.com/sure-analysis-research-database/","Texas Capital Bancshares, Inc.")</f>
        <v>Texas Capital Bancshares, Inc.</v>
      </c>
      <c r="C1696">
        <v>-6.9636135508155006E-2</v>
      </c>
      <c r="D1696">
        <v>8.4064327485380008E-2</v>
      </c>
      <c r="E1696">
        <v>-5.5322715842410003E-3</v>
      </c>
      <c r="F1696">
        <v>-8.2159987621847008E-2</v>
      </c>
      <c r="G1696">
        <v>-0.103114605382521</v>
      </c>
      <c r="H1696">
        <v>-0.10039429784652699</v>
      </c>
      <c r="I1696">
        <v>-4.1215451753677003E-2</v>
      </c>
    </row>
    <row r="1697" spans="1:9" x14ac:dyDescent="0.2">
      <c r="A1697" s="1" t="s">
        <v>1697</v>
      </c>
      <c r="B1697" t="str">
        <f>HYPERLINK("https://www.suredividend.com/sure-analysis-research-database/","Trico Bancshares")</f>
        <v>Trico Bancshares</v>
      </c>
      <c r="C1697">
        <v>-0.113394216133942</v>
      </c>
      <c r="D1697">
        <v>-3.6489347624717998E-2</v>
      </c>
      <c r="E1697">
        <v>3.5461502017140002E-3</v>
      </c>
      <c r="F1697">
        <v>-0.18664184314638099</v>
      </c>
      <c r="G1697">
        <v>-0.27665360710804199</v>
      </c>
      <c r="H1697">
        <v>-0.14654724025855101</v>
      </c>
      <c r="I1697">
        <v>2.7044023309050001E-2</v>
      </c>
    </row>
    <row r="1698" spans="1:9" x14ac:dyDescent="0.2">
      <c r="A1698" s="1" t="s">
        <v>1698</v>
      </c>
      <c r="B1698" t="str">
        <f>HYPERLINK("https://www.suredividend.com/sure-analysis-research-database/","Third Coast Bancshares Inc")</f>
        <v>Third Coast Bancshares Inc</v>
      </c>
      <c r="C1698">
        <v>4.3868921775897997E-2</v>
      </c>
      <c r="D1698">
        <v>0.148255813953488</v>
      </c>
      <c r="E1698">
        <v>1.2820512820512E-2</v>
      </c>
      <c r="F1698">
        <v>-6.0392551585300002E-3</v>
      </c>
      <c r="G1698">
        <v>2.9181865554976E-2</v>
      </c>
      <c r="H1698">
        <v>-0.160289115646258</v>
      </c>
      <c r="I1698">
        <v>-0.210315873650539</v>
      </c>
    </row>
    <row r="1699" spans="1:9" x14ac:dyDescent="0.2">
      <c r="A1699" s="1" t="s">
        <v>1699</v>
      </c>
      <c r="B1699" t="str">
        <f>HYPERLINK("https://www.suredividend.com/sure-analysis-research-database/","Transcontinental Realty Investors, Inc.")</f>
        <v>Transcontinental Realty Investors, Inc.</v>
      </c>
      <c r="C1699">
        <v>-7.944643772424001E-3</v>
      </c>
      <c r="D1699">
        <v>0.226552598225602</v>
      </c>
      <c r="E1699">
        <v>0.118139803581744</v>
      </c>
      <c r="F1699">
        <v>0.120081018518518</v>
      </c>
      <c r="G1699">
        <v>-0.14679303504518301</v>
      </c>
      <c r="H1699">
        <v>-1.6264294790343001E-2</v>
      </c>
      <c r="I1699">
        <v>0.26834862385321101</v>
      </c>
    </row>
    <row r="1700" spans="1:9" x14ac:dyDescent="0.2">
      <c r="A1700" s="1" t="s">
        <v>1700</v>
      </c>
      <c r="B1700" t="str">
        <f>HYPERLINK("https://www.suredividend.com/sure-analysis-research-database/","Tactile Systems Technology Inc")</f>
        <v>Tactile Systems Technology Inc</v>
      </c>
      <c r="C1700">
        <v>4.0293040293039997E-2</v>
      </c>
      <c r="D1700">
        <v>0.123417721518987</v>
      </c>
      <c r="E1700">
        <v>-0.20157436041608101</v>
      </c>
      <c r="F1700">
        <v>-6.9930069930070008E-3</v>
      </c>
      <c r="G1700">
        <v>1.2838801711840001E-2</v>
      </c>
      <c r="H1700">
        <v>-4.5698924731182013E-2</v>
      </c>
      <c r="I1700">
        <v>-0.80680272108843509</v>
      </c>
    </row>
    <row r="1701" spans="1:9" x14ac:dyDescent="0.2">
      <c r="A1701" s="1" t="s">
        <v>1701</v>
      </c>
      <c r="B1701" t="str">
        <f>HYPERLINK("https://www.suredividend.com/sure-analysis-research-database/","Tucows, Inc.")</f>
        <v>Tucows, Inc.</v>
      </c>
      <c r="C1701">
        <v>-2.6140894993354001E-2</v>
      </c>
      <c r="D1701">
        <v>2.9990627928771999E-2</v>
      </c>
      <c r="E1701">
        <v>9.2445328031809007E-2</v>
      </c>
      <c r="F1701">
        <v>-0.185925925925925</v>
      </c>
      <c r="G1701">
        <v>-0.27410832232496601</v>
      </c>
      <c r="H1701">
        <v>-0.69766162310866509</v>
      </c>
      <c r="I1701">
        <v>-0.70156143923964709</v>
      </c>
    </row>
    <row r="1702" spans="1:9" x14ac:dyDescent="0.2">
      <c r="A1702" s="1" t="s">
        <v>1702</v>
      </c>
      <c r="B1702" t="str">
        <f>HYPERLINK("https://www.suredividend.com/sure-analysis-TDS/","Telephone And Data Systems, Inc.")</f>
        <v>Telephone And Data Systems, Inc.</v>
      </c>
      <c r="C1702">
        <v>-0.22425876010781601</v>
      </c>
      <c r="D1702">
        <v>-0.26152109206609803</v>
      </c>
      <c r="E1702">
        <v>-0.18760691239816801</v>
      </c>
      <c r="F1702">
        <v>-0.21580381471389601</v>
      </c>
      <c r="G1702">
        <v>0.1184256546171</v>
      </c>
      <c r="H1702">
        <v>-0.13016145509058</v>
      </c>
      <c r="I1702">
        <v>-0.52048517969309704</v>
      </c>
    </row>
    <row r="1703" spans="1:9" x14ac:dyDescent="0.2">
      <c r="A1703" s="1" t="s">
        <v>1703</v>
      </c>
      <c r="B1703" t="str">
        <f>HYPERLINK("https://www.suredividend.com/sure-analysis-research-database/","ThredUp Inc")</f>
        <v>ThredUp Inc</v>
      </c>
      <c r="C1703">
        <v>-5.1643192488261998E-2</v>
      </c>
      <c r="D1703">
        <v>4.9751243781090007E-3</v>
      </c>
      <c r="E1703">
        <v>-0.46701846965699212</v>
      </c>
      <c r="F1703">
        <v>-0.10222222222222201</v>
      </c>
      <c r="G1703">
        <v>0.36486486486486402</v>
      </c>
      <c r="H1703">
        <v>-0.74844333748443304</v>
      </c>
      <c r="I1703">
        <v>-0.89900000000000002</v>
      </c>
    </row>
    <row r="1704" spans="1:9" x14ac:dyDescent="0.2">
      <c r="A1704" s="1" t="s">
        <v>1704</v>
      </c>
      <c r="B1704" t="str">
        <f>HYPERLINK("https://www.suredividend.com/sure-analysis-research-database/","Tidewater Inc.")</f>
        <v>Tidewater Inc.</v>
      </c>
      <c r="C1704">
        <v>6.7340067340060008E-3</v>
      </c>
      <c r="D1704">
        <v>0.20691470691470601</v>
      </c>
      <c r="E1704">
        <v>0.119667860631715</v>
      </c>
      <c r="F1704">
        <v>-4.6318125086672997E-2</v>
      </c>
      <c r="G1704">
        <v>0.56259940922517604</v>
      </c>
      <c r="H1704">
        <v>3.9086366880799428</v>
      </c>
      <c r="I1704">
        <v>1.9439212328767119</v>
      </c>
    </row>
    <row r="1705" spans="1:9" x14ac:dyDescent="0.2">
      <c r="A1705" s="1" t="s">
        <v>1705</v>
      </c>
      <c r="B1705" t="str">
        <f>HYPERLINK("https://www.suredividend.com/sure-analysis-research-database/","TELA Bio Inc")</f>
        <v>TELA Bio Inc</v>
      </c>
      <c r="C1705">
        <v>3.5950110051357002E-2</v>
      </c>
      <c r="D1705">
        <v>0.44969199178644698</v>
      </c>
      <c r="E1705">
        <v>-0.21642619311875699</v>
      </c>
      <c r="F1705">
        <v>6.6465256797582001E-2</v>
      </c>
      <c r="G1705">
        <v>-0.353479853479853</v>
      </c>
      <c r="H1705">
        <v>-0.40169491525423701</v>
      </c>
      <c r="I1705">
        <v>-0.47116104868913811</v>
      </c>
    </row>
    <row r="1706" spans="1:9" x14ac:dyDescent="0.2">
      <c r="A1706" s="1" t="s">
        <v>1706</v>
      </c>
      <c r="B1706" t="str">
        <f>HYPERLINK("https://www.suredividend.com/sure-analysis-research-database/","Tellurian Inc")</f>
        <v>Tellurian Inc</v>
      </c>
      <c r="C1706">
        <v>0.47763636363636303</v>
      </c>
      <c r="D1706">
        <v>0.53339622641509399</v>
      </c>
      <c r="E1706">
        <v>-0.36007874015747998</v>
      </c>
      <c r="F1706">
        <v>7.5569084171519002E-2</v>
      </c>
      <c r="G1706">
        <v>-0.46178807947019801</v>
      </c>
      <c r="H1706">
        <v>-0.66555555555555501</v>
      </c>
      <c r="I1706">
        <v>-0.91889221556886203</v>
      </c>
    </row>
    <row r="1707" spans="1:9" x14ac:dyDescent="0.2">
      <c r="A1707" s="1" t="s">
        <v>1707</v>
      </c>
      <c r="B1707" t="str">
        <f>HYPERLINK("https://www.suredividend.com/sure-analysis-research-database/","Tenable Holdings Inc")</f>
        <v>Tenable Holdings Inc</v>
      </c>
      <c r="C1707">
        <v>5.5696202531645013E-2</v>
      </c>
      <c r="D1707">
        <v>0.26555386949924098</v>
      </c>
      <c r="E1707">
        <v>0.12298025134649899</v>
      </c>
      <c r="F1707">
        <v>8.6409031697785008E-2</v>
      </c>
      <c r="G1707">
        <v>0.142465753424657</v>
      </c>
      <c r="H1707">
        <v>0.100747910250769</v>
      </c>
      <c r="I1707">
        <v>0.71018455228981503</v>
      </c>
    </row>
    <row r="1708" spans="1:9" x14ac:dyDescent="0.2">
      <c r="A1708" s="1" t="s">
        <v>1708</v>
      </c>
      <c r="B1708" t="str">
        <f>HYPERLINK("https://www.suredividend.com/sure-analysis-research-database/","Terns Pharmaceuticals Inc")</f>
        <v>Terns Pharmaceuticals Inc</v>
      </c>
      <c r="C1708">
        <v>0.53703703703703709</v>
      </c>
      <c r="D1708">
        <v>0.99199999999999999</v>
      </c>
      <c r="E1708">
        <v>0.33870967741935398</v>
      </c>
      <c r="F1708">
        <v>0.151001540832049</v>
      </c>
      <c r="G1708">
        <v>-0.29528301886792402</v>
      </c>
      <c r="H1708">
        <v>0.95039164490861605</v>
      </c>
      <c r="I1708">
        <v>-0.59380097879282201</v>
      </c>
    </row>
    <row r="1709" spans="1:9" x14ac:dyDescent="0.2">
      <c r="A1709" s="1" t="s">
        <v>1709</v>
      </c>
      <c r="B1709" t="str">
        <f>HYPERLINK("https://www.suredividend.com/sure-analysis-research-database/","Terex Corp.")</f>
        <v>Terex Corp.</v>
      </c>
      <c r="C1709">
        <v>-3.6318758815232E-2</v>
      </c>
      <c r="D1709">
        <v>9.145367412140501E-2</v>
      </c>
      <c r="E1709">
        <v>-3.4444505289709999E-2</v>
      </c>
      <c r="F1709">
        <v>-4.8729550991993997E-2</v>
      </c>
      <c r="G1709">
        <v>-3.1299345515639003E-2</v>
      </c>
      <c r="H1709">
        <v>0.34161637037055198</v>
      </c>
      <c r="I1709">
        <v>0.63219722532443801</v>
      </c>
    </row>
    <row r="1710" spans="1:9" x14ac:dyDescent="0.2">
      <c r="A1710" s="1" t="s">
        <v>1710</v>
      </c>
      <c r="B1710" t="str">
        <f>HYPERLINK("https://www.suredividend.com/sure-analysis-research-database/","Triumph Financial Inc")</f>
        <v>Triumph Financial Inc</v>
      </c>
      <c r="C1710">
        <v>1.6015883520846999E-2</v>
      </c>
      <c r="D1710">
        <v>8.8485536018151012E-2</v>
      </c>
      <c r="E1710">
        <v>0.19118559900682799</v>
      </c>
      <c r="F1710">
        <v>-4.2654028436018003E-2</v>
      </c>
      <c r="G1710">
        <v>0.21628901917287199</v>
      </c>
      <c r="H1710">
        <v>-0.19148936170212699</v>
      </c>
      <c r="I1710">
        <v>1.2797742797742799</v>
      </c>
    </row>
    <row r="1711" spans="1:9" x14ac:dyDescent="0.2">
      <c r="A1711" s="1" t="s">
        <v>1711</v>
      </c>
      <c r="B1711" t="str">
        <f>HYPERLINK("https://www.suredividend.com/sure-analysis-research-database/","Tredegar Corp.")</f>
        <v>Tredegar Corp.</v>
      </c>
      <c r="C1711">
        <v>-7.3068893528183007E-2</v>
      </c>
      <c r="D1711">
        <v>-9.5723014256619013E-2</v>
      </c>
      <c r="E1711">
        <v>-0.110220440881763</v>
      </c>
      <c r="F1711">
        <v>-0.179297597042513</v>
      </c>
      <c r="G1711">
        <v>-0.62023042775397008</v>
      </c>
      <c r="H1711">
        <v>-0.59140477614687303</v>
      </c>
      <c r="I1711">
        <v>-0.60414047663626302</v>
      </c>
    </row>
    <row r="1712" spans="1:9" x14ac:dyDescent="0.2">
      <c r="A1712" s="1" t="s">
        <v>1712</v>
      </c>
      <c r="B1712" t="str">
        <f>HYPERLINK("https://www.suredividend.com/sure-analysis-research-database/","Transphorm Inc")</f>
        <v>Transphorm Inc</v>
      </c>
      <c r="C1712">
        <v>1.0351966873705E-2</v>
      </c>
      <c r="D1712">
        <v>0.65423728813559301</v>
      </c>
      <c r="E1712">
        <v>0.79411764705882304</v>
      </c>
      <c r="F1712">
        <v>0.33698630136986302</v>
      </c>
      <c r="G1712">
        <v>0.21695760598503699</v>
      </c>
      <c r="H1712">
        <v>-0.29479768786127097</v>
      </c>
      <c r="I1712">
        <v>-0.29479768786127097</v>
      </c>
    </row>
    <row r="1713" spans="1:9" x14ac:dyDescent="0.2">
      <c r="A1713" s="1" t="s">
        <v>1713</v>
      </c>
      <c r="B1713" t="str">
        <f>HYPERLINK("https://www.suredividend.com/sure-analysis-research-database/","Textainer Group Holdings Limited")</f>
        <v>Textainer Group Holdings Limited</v>
      </c>
      <c r="C1713">
        <v>2.618328298086E-3</v>
      </c>
      <c r="D1713">
        <v>1.4888979952985999E-2</v>
      </c>
      <c r="E1713">
        <v>0.23590121728076899</v>
      </c>
      <c r="F1713">
        <v>1.1788617886178E-2</v>
      </c>
      <c r="G1713">
        <v>0.55960198506190806</v>
      </c>
      <c r="H1713">
        <v>0.41052196112989098</v>
      </c>
      <c r="I1713">
        <v>3.075650892418536</v>
      </c>
    </row>
    <row r="1714" spans="1:9" x14ac:dyDescent="0.2">
      <c r="A1714" s="1" t="s">
        <v>1714</v>
      </c>
      <c r="B1714" t="str">
        <f>HYPERLINK("https://www.suredividend.com/sure-analysis-research-database/","Triumph Group Inc.")</f>
        <v>Triumph Group Inc.</v>
      </c>
      <c r="C1714">
        <v>-6.0645161290322012E-2</v>
      </c>
      <c r="D1714">
        <v>0.34441366574330501</v>
      </c>
      <c r="E1714">
        <v>0.625</v>
      </c>
      <c r="F1714">
        <v>-0.121833534378769</v>
      </c>
      <c r="G1714">
        <v>0.13572542901716</v>
      </c>
      <c r="H1714">
        <v>-0.389261744966442</v>
      </c>
      <c r="I1714">
        <v>-0.36110928278373811</v>
      </c>
    </row>
    <row r="1715" spans="1:9" x14ac:dyDescent="0.2">
      <c r="A1715" s="1" t="s">
        <v>1715</v>
      </c>
      <c r="B1715" t="str">
        <f>HYPERLINK("https://www.suredividend.com/sure-analysis-research-database/","TEGNA Inc")</f>
        <v>TEGNA Inc</v>
      </c>
      <c r="C1715">
        <v>-6.5119277885235E-2</v>
      </c>
      <c r="D1715">
        <v>-9.261576971214E-2</v>
      </c>
      <c r="E1715">
        <v>-0.112134367747821</v>
      </c>
      <c r="F1715">
        <v>-5.2287581699345997E-2</v>
      </c>
      <c r="G1715">
        <v>-0.26938890680425598</v>
      </c>
      <c r="H1715">
        <v>-0.28218532489777298</v>
      </c>
      <c r="I1715">
        <v>0.28668151526714097</v>
      </c>
    </row>
    <row r="1716" spans="1:9" x14ac:dyDescent="0.2">
      <c r="A1716" s="1" t="s">
        <v>1716</v>
      </c>
      <c r="B1716" t="str">
        <f>HYPERLINK("https://www.suredividend.com/sure-analysis-research-database/","TG Therapeutics Inc")</f>
        <v>TG Therapeutics Inc</v>
      </c>
      <c r="C1716">
        <v>-0.122096881220968</v>
      </c>
      <c r="D1716">
        <v>3.1981279251170003E-2</v>
      </c>
      <c r="E1716">
        <v>0.27826086956521701</v>
      </c>
      <c r="F1716">
        <v>-0.22540983606557299</v>
      </c>
      <c r="G1716">
        <v>-0.266629711751662</v>
      </c>
      <c r="H1716">
        <v>0.255218216318785</v>
      </c>
      <c r="I1716">
        <v>1.7562500000000001</v>
      </c>
    </row>
    <row r="1717" spans="1:9" x14ac:dyDescent="0.2">
      <c r="A1717" s="1" t="s">
        <v>1717</v>
      </c>
      <c r="B1717" t="str">
        <f>HYPERLINK("https://www.suredividend.com/sure-analysis-research-database/","Target Hospitality Corp")</f>
        <v>Target Hospitality Corp</v>
      </c>
      <c r="C1717">
        <v>2.0607375271149E-2</v>
      </c>
      <c r="D1717">
        <v>-0.17959895379250199</v>
      </c>
      <c r="E1717">
        <v>-0.38935756002595701</v>
      </c>
      <c r="F1717">
        <v>-3.2887975334018001E-2</v>
      </c>
      <c r="G1717">
        <v>-0.42411260709914311</v>
      </c>
      <c r="H1717">
        <v>2.0751633986928102</v>
      </c>
      <c r="I1717">
        <v>-7.5638506876227002E-2</v>
      </c>
    </row>
    <row r="1718" spans="1:9" x14ac:dyDescent="0.2">
      <c r="A1718" s="1" t="s">
        <v>1718</v>
      </c>
      <c r="B1718" t="str">
        <f>HYPERLINK("https://www.suredividend.com/sure-analysis-THFF/","First Financial Corp. - Indiana")</f>
        <v>First Financial Corp. - Indiana</v>
      </c>
      <c r="C1718">
        <v>-5.9130434782608002E-2</v>
      </c>
      <c r="D1718">
        <v>2.0075583102355E-2</v>
      </c>
      <c r="E1718">
        <v>4.0116013996385001E-2</v>
      </c>
      <c r="F1718">
        <v>-0.119916337438996</v>
      </c>
      <c r="G1718">
        <v>-0.11138955958992899</v>
      </c>
      <c r="H1718">
        <v>-0.124828120125255</v>
      </c>
      <c r="I1718">
        <v>-1.2003621175003001E-2</v>
      </c>
    </row>
    <row r="1719" spans="1:9" x14ac:dyDescent="0.2">
      <c r="A1719" s="1" t="s">
        <v>1719</v>
      </c>
      <c r="B1719" t="str">
        <f>HYPERLINK("https://www.suredividend.com/sure-analysis-research-database/","Thermon Group Holdings Inc")</f>
        <v>Thermon Group Holdings Inc</v>
      </c>
      <c r="C1719">
        <v>-0.12616672030897899</v>
      </c>
      <c r="D1719">
        <v>-0.146494812951901</v>
      </c>
      <c r="E1719">
        <v>6.679764243614901E-2</v>
      </c>
      <c r="F1719">
        <v>-0.16641080749155601</v>
      </c>
      <c r="G1719">
        <v>8.1693278871140008E-3</v>
      </c>
      <c r="H1719">
        <v>0.51337792642140401</v>
      </c>
      <c r="I1719">
        <v>8.3832335329341007E-2</v>
      </c>
    </row>
    <row r="1720" spans="1:9" x14ac:dyDescent="0.2">
      <c r="A1720" s="1" t="s">
        <v>1720</v>
      </c>
      <c r="B1720" t="str">
        <f>HYPERLINK("https://www.suredividend.com/sure-analysis-research-database/","Third Harmonic Bio Inc")</f>
        <v>Third Harmonic Bio Inc</v>
      </c>
      <c r="C1720">
        <v>2.9866117404736998E-2</v>
      </c>
      <c r="D1720">
        <v>0.48148148148148101</v>
      </c>
      <c r="E1720">
        <v>0.47928994082840198</v>
      </c>
      <c r="F1720">
        <v>-8.8422971741112008E-2</v>
      </c>
      <c r="G1720">
        <v>1.3201856148491879</v>
      </c>
      <c r="H1720">
        <v>-0.49186991869918611</v>
      </c>
      <c r="I1720">
        <v>-0.49186991869918611</v>
      </c>
    </row>
    <row r="1721" spans="1:9" x14ac:dyDescent="0.2">
      <c r="A1721" s="1" t="s">
        <v>1721</v>
      </c>
      <c r="B1721" t="str">
        <f>HYPERLINK("https://www.suredividend.com/sure-analysis-research-database/","Gentherm Inc")</f>
        <v>Gentherm Inc</v>
      </c>
      <c r="C1721">
        <v>2.9227557411273E-2</v>
      </c>
      <c r="D1721">
        <v>3.0733849048713999E-2</v>
      </c>
      <c r="E1721">
        <v>-0.17599866287815399</v>
      </c>
      <c r="F1721">
        <v>-5.8441558441558003E-2</v>
      </c>
      <c r="G1721">
        <v>-0.32641071184588011</v>
      </c>
      <c r="H1721">
        <v>-0.45210046677039312</v>
      </c>
      <c r="I1721">
        <v>0.14972014925373101</v>
      </c>
    </row>
    <row r="1722" spans="1:9" x14ac:dyDescent="0.2">
      <c r="A1722" s="1" t="s">
        <v>1722</v>
      </c>
      <c r="B1722" t="str">
        <f>HYPERLINK("https://www.suredividend.com/sure-analysis-research-database/","Thryv Holdings Inc")</f>
        <v>Thryv Holdings Inc</v>
      </c>
      <c r="C1722">
        <v>0.12743549236440199</v>
      </c>
      <c r="D1722">
        <v>0.12565720294426899</v>
      </c>
      <c r="E1722">
        <v>-8.4260051325919003E-2</v>
      </c>
      <c r="F1722">
        <v>5.2088452088450997E-2</v>
      </c>
      <c r="G1722">
        <v>-0.113824503311258</v>
      </c>
      <c r="H1722">
        <v>-0.27027948193592299</v>
      </c>
      <c r="I1722">
        <v>0.93318284424379205</v>
      </c>
    </row>
    <row r="1723" spans="1:9" x14ac:dyDescent="0.2">
      <c r="A1723" s="1" t="s">
        <v>1723</v>
      </c>
      <c r="B1723" t="str">
        <f>HYPERLINK("https://www.suredividend.com/sure-analysis-research-database/","Treehouse Foods Inc")</f>
        <v>Treehouse Foods Inc</v>
      </c>
      <c r="C1723">
        <v>-0.104568775958954</v>
      </c>
      <c r="D1723">
        <v>-0.101054697081187</v>
      </c>
      <c r="E1723">
        <v>-0.228421052631578</v>
      </c>
      <c r="F1723">
        <v>-0.11580217129071101</v>
      </c>
      <c r="G1723">
        <v>-0.24912927678754301</v>
      </c>
      <c r="H1723">
        <v>-9.4390906844576003E-2</v>
      </c>
      <c r="I1723">
        <v>-0.38773805546274598</v>
      </c>
    </row>
    <row r="1724" spans="1:9" x14ac:dyDescent="0.2">
      <c r="A1724" s="1" t="s">
        <v>1724</v>
      </c>
      <c r="B1724" t="str">
        <f>HYPERLINK("https://www.suredividend.com/sure-analysis-research-database/","Interface Inc.")</f>
        <v>Interface Inc.</v>
      </c>
      <c r="C1724">
        <v>0.128183361629881</v>
      </c>
      <c r="D1724">
        <v>0.31325408353837397</v>
      </c>
      <c r="E1724">
        <v>0.33558443124604298</v>
      </c>
      <c r="F1724">
        <v>5.3090332805071007E-2</v>
      </c>
      <c r="G1724">
        <v>0.17218507999788299</v>
      </c>
      <c r="H1724">
        <v>-1.2358523516865E-2</v>
      </c>
      <c r="I1724">
        <v>-0.24228602704736699</v>
      </c>
    </row>
    <row r="1725" spans="1:9" x14ac:dyDescent="0.2">
      <c r="A1725" s="1" t="s">
        <v>1725</v>
      </c>
      <c r="B1725" t="str">
        <f>HYPERLINK("https://www.suredividend.com/sure-analysis-research-database/","Tingo Group Inc")</f>
        <v>Tingo Group Inc</v>
      </c>
      <c r="C1725">
        <v>0</v>
      </c>
      <c r="D1725">
        <v>0</v>
      </c>
      <c r="E1725">
        <v>-0.42016806722688999</v>
      </c>
      <c r="F1725">
        <v>0</v>
      </c>
      <c r="G1725">
        <v>-0.31</v>
      </c>
      <c r="H1725">
        <v>-7.2580645161290008E-2</v>
      </c>
      <c r="I1725">
        <v>-0.45669291338582602</v>
      </c>
    </row>
    <row r="1726" spans="1:9" x14ac:dyDescent="0.2">
      <c r="A1726" s="1" t="s">
        <v>1726</v>
      </c>
      <c r="B1726" t="str">
        <f>HYPERLINK("https://www.suredividend.com/sure-analysis-research-database/","Tiptree Inc")</f>
        <v>Tiptree Inc</v>
      </c>
      <c r="C1726">
        <v>-0.143513789581205</v>
      </c>
      <c r="D1726">
        <v>-7.654185022026401E-2</v>
      </c>
      <c r="E1726">
        <v>4.6385384298603012E-2</v>
      </c>
      <c r="F1726">
        <v>-0.115506329113924</v>
      </c>
      <c r="G1726">
        <v>6.8990355501443001E-2</v>
      </c>
      <c r="H1726">
        <v>0.33298359404807298</v>
      </c>
      <c r="I1726">
        <v>1.97503947205024</v>
      </c>
    </row>
    <row r="1727" spans="1:9" x14ac:dyDescent="0.2">
      <c r="A1727" s="1" t="s">
        <v>1727</v>
      </c>
      <c r="B1727" t="str">
        <f>HYPERLINK("https://www.suredividend.com/sure-analysis-research-database/","Titan Machinery Inc")</f>
        <v>Titan Machinery Inc</v>
      </c>
      <c r="C1727">
        <v>1.5264187866926999E-2</v>
      </c>
      <c r="D1727">
        <v>-4.9120234604105001E-2</v>
      </c>
      <c r="E1727">
        <v>-0.110730202262598</v>
      </c>
      <c r="F1727">
        <v>-0.10180055401662</v>
      </c>
      <c r="G1727">
        <v>-0.42033519553072601</v>
      </c>
      <c r="H1727">
        <v>-0.152841280209013</v>
      </c>
      <c r="I1727">
        <v>0.34404145077720211</v>
      </c>
    </row>
    <row r="1728" spans="1:9" x14ac:dyDescent="0.2">
      <c r="A1728" s="1" t="s">
        <v>1728</v>
      </c>
      <c r="B1728" t="str">
        <f>HYPERLINK("https://www.suredividend.com/sure-analysis-research-database/","Teekay Corp")</f>
        <v>Teekay Corp</v>
      </c>
      <c r="C1728">
        <v>-5.7074910820451012E-2</v>
      </c>
      <c r="D1728">
        <v>0.115330520393811</v>
      </c>
      <c r="E1728">
        <v>0.17481481481481401</v>
      </c>
      <c r="F1728">
        <v>0.109090909090908</v>
      </c>
      <c r="G1728">
        <v>0.51915708812260508</v>
      </c>
      <c r="H1728">
        <v>1.574675324675324</v>
      </c>
      <c r="I1728">
        <v>1.038560411311054</v>
      </c>
    </row>
    <row r="1729" spans="1:9" x14ac:dyDescent="0.2">
      <c r="A1729" s="1" t="s">
        <v>1729</v>
      </c>
      <c r="B1729" t="str">
        <f>HYPERLINK("https://www.suredividend.com/sure-analysis-research-database/","Tillys Inc")</f>
        <v>Tillys Inc</v>
      </c>
      <c r="C1729">
        <v>-3.7634408602149998E-2</v>
      </c>
      <c r="D1729">
        <v>-0.158636897767332</v>
      </c>
      <c r="E1729">
        <v>-0.188208616780045</v>
      </c>
      <c r="F1729">
        <v>-5.0397877984084002E-2</v>
      </c>
      <c r="G1729">
        <v>-0.21058434399117901</v>
      </c>
      <c r="H1729">
        <v>-0.44236760124610502</v>
      </c>
      <c r="I1729">
        <v>-0.23312554891502199</v>
      </c>
    </row>
    <row r="1730" spans="1:9" x14ac:dyDescent="0.2">
      <c r="A1730" s="1" t="s">
        <v>1730</v>
      </c>
      <c r="B1730" t="str">
        <f>HYPERLINK("https://www.suredividend.com/sure-analysis-research-database/","Treace Medical Concepts Inc")</f>
        <v>Treace Medical Concepts Inc</v>
      </c>
      <c r="C1730">
        <v>0.18252126836813601</v>
      </c>
      <c r="D1730">
        <v>0.77997671711292105</v>
      </c>
      <c r="E1730">
        <v>-8.5526315789473006E-2</v>
      </c>
      <c r="F1730">
        <v>0.199215686274509</v>
      </c>
      <c r="G1730">
        <v>-0.30751811594202799</v>
      </c>
      <c r="H1730">
        <v>-0.21870209504343299</v>
      </c>
      <c r="I1730">
        <v>-0.40109674892283598</v>
      </c>
    </row>
    <row r="1731" spans="1:9" x14ac:dyDescent="0.2">
      <c r="A1731" s="1" t="s">
        <v>1731</v>
      </c>
      <c r="B1731" t="str">
        <f>HYPERLINK("https://www.suredividend.com/sure-analysis-research-database/","Transmedics Group Inc")</f>
        <v>Transmedics Group Inc</v>
      </c>
      <c r="C1731">
        <v>7.8242881479678006E-2</v>
      </c>
      <c r="D1731">
        <v>0.26875715922107601</v>
      </c>
      <c r="E1731">
        <v>0.35447875267502199</v>
      </c>
      <c r="F1731">
        <v>0.122640314202457</v>
      </c>
      <c r="G1731">
        <v>0.34054462934947011</v>
      </c>
      <c r="H1731">
        <v>5.1663187195546278</v>
      </c>
      <c r="I1731">
        <v>2.962880143112701</v>
      </c>
    </row>
    <row r="1732" spans="1:9" x14ac:dyDescent="0.2">
      <c r="A1732" s="1" t="s">
        <v>1732</v>
      </c>
      <c r="B1732" t="str">
        <f>HYPERLINK("https://www.suredividend.com/sure-analysis-research-database/","Taylor Morrison Home Corp.")</f>
        <v>Taylor Morrison Home Corp.</v>
      </c>
      <c r="C1732">
        <v>3.8881688576180001E-3</v>
      </c>
      <c r="D1732">
        <v>0.19690949227373</v>
      </c>
      <c r="E1732">
        <v>0.19453624146287701</v>
      </c>
      <c r="F1732">
        <v>1.6307403936269001E-2</v>
      </c>
      <c r="G1732">
        <v>0.51283482142857106</v>
      </c>
      <c r="H1732">
        <v>0.8878830083565461</v>
      </c>
      <c r="I1732">
        <v>2.0189309576837409</v>
      </c>
    </row>
    <row r="1733" spans="1:9" x14ac:dyDescent="0.2">
      <c r="A1733" s="1" t="s">
        <v>1733</v>
      </c>
      <c r="B1733" t="str">
        <f>HYPERLINK("https://www.suredividend.com/sure-analysis-TMP/","Tompkins Financial Corp")</f>
        <v>Tompkins Financial Corp</v>
      </c>
      <c r="C1733">
        <v>-3.2718899332683002E-2</v>
      </c>
      <c r="D1733">
        <v>-5.9223597308750008E-2</v>
      </c>
      <c r="E1733">
        <v>-3.2959079771251003E-2</v>
      </c>
      <c r="F1733">
        <v>-0.14497622475688601</v>
      </c>
      <c r="G1733">
        <v>-0.29038645971488303</v>
      </c>
      <c r="H1733">
        <v>-0.29342437432756402</v>
      </c>
      <c r="I1733">
        <v>-0.240602378861417</v>
      </c>
    </row>
    <row r="1734" spans="1:9" x14ac:dyDescent="0.2">
      <c r="A1734" s="1" t="s">
        <v>1734</v>
      </c>
      <c r="B1734" t="str">
        <f>HYPERLINK("https://www.suredividend.com/sure-analysis-research-database/","TimkenSteel Corp")</f>
        <v>TimkenSteel Corp</v>
      </c>
      <c r="C1734">
        <v>-1.0416666666666E-2</v>
      </c>
      <c r="D1734">
        <v>-2.9669260700389E-2</v>
      </c>
      <c r="E1734">
        <v>-0.108977221974095</v>
      </c>
      <c r="F1734">
        <v>-0.14925373134328301</v>
      </c>
      <c r="G1734">
        <v>3.1540847983454003E-2</v>
      </c>
      <c r="H1734">
        <v>0.264258555133079</v>
      </c>
      <c r="I1734">
        <v>0.61669367909238204</v>
      </c>
    </row>
    <row r="1735" spans="1:9" x14ac:dyDescent="0.2">
      <c r="A1735" s="1" t="s">
        <v>1735</v>
      </c>
      <c r="B1735" t="str">
        <f>HYPERLINK("https://www.suredividend.com/sure-analysis-TNC/","Tennant Co.")</f>
        <v>Tennant Co.</v>
      </c>
      <c r="C1735">
        <v>0.125454345192201</v>
      </c>
      <c r="D1735">
        <v>0.16889222923465999</v>
      </c>
      <c r="E1735">
        <v>0.28073199009807898</v>
      </c>
      <c r="F1735">
        <v>0.10238429172510501</v>
      </c>
      <c r="G1735">
        <v>0.48346024579156299</v>
      </c>
      <c r="H1735">
        <v>0.34750024067214103</v>
      </c>
      <c r="I1735">
        <v>0.77488275143303809</v>
      </c>
    </row>
    <row r="1736" spans="1:9" x14ac:dyDescent="0.2">
      <c r="A1736" s="1" t="s">
        <v>1736</v>
      </c>
      <c r="B1736" t="str">
        <f>HYPERLINK("https://www.suredividend.com/sure-analysis-research-database/","TriNet Group Inc")</f>
        <v>TriNet Group Inc</v>
      </c>
      <c r="C1736">
        <v>5.9673258813412997E-2</v>
      </c>
      <c r="D1736">
        <v>0.108672184238934</v>
      </c>
      <c r="E1736">
        <v>0.16992595405354</v>
      </c>
      <c r="F1736">
        <v>3.6239804927268013E-2</v>
      </c>
      <c r="G1736">
        <v>0.35354200988467799</v>
      </c>
      <c r="H1736">
        <v>0.41590073529411697</v>
      </c>
      <c r="I1736">
        <v>1.015372035977105</v>
      </c>
    </row>
    <row r="1737" spans="1:9" x14ac:dyDescent="0.2">
      <c r="A1737" s="1" t="s">
        <v>1737</v>
      </c>
      <c r="B1737" t="str">
        <f>HYPERLINK("https://www.suredividend.com/sure-analysis-research-database/","Tango Therapeutics Inc")</f>
        <v>Tango Therapeutics Inc</v>
      </c>
      <c r="C1737">
        <v>7.3193046660567002E-2</v>
      </c>
      <c r="D1737">
        <v>0.54139290407358709</v>
      </c>
      <c r="E1737">
        <v>0.69020172910662803</v>
      </c>
      <c r="F1737">
        <v>0.18484848484848401</v>
      </c>
      <c r="G1737">
        <v>1.0651408450704221</v>
      </c>
      <c r="H1737">
        <v>0.25723472668810299</v>
      </c>
      <c r="I1737">
        <v>0.14662756598240401</v>
      </c>
    </row>
    <row r="1738" spans="1:9" x14ac:dyDescent="0.2">
      <c r="A1738" s="1" t="s">
        <v>1738</v>
      </c>
      <c r="B1738" t="str">
        <f>HYPERLINK("https://www.suredividend.com/sure-analysis-research-database/","Teekay Tankers Ltd")</f>
        <v>Teekay Tankers Ltd</v>
      </c>
      <c r="C1738">
        <v>-3.3361558001692999E-2</v>
      </c>
      <c r="D1738">
        <v>0.12295888254967501</v>
      </c>
      <c r="E1738">
        <v>0.31172254356513601</v>
      </c>
      <c r="F1738">
        <v>0.14228537122273299</v>
      </c>
      <c r="G1738">
        <v>0.543491134660678</v>
      </c>
      <c r="H1738">
        <v>4.2616053980310458</v>
      </c>
      <c r="I1738">
        <v>5.8437964606014088</v>
      </c>
    </row>
    <row r="1739" spans="1:9" x14ac:dyDescent="0.2">
      <c r="A1739" s="1" t="s">
        <v>1739</v>
      </c>
      <c r="B1739" t="str">
        <f>HYPERLINK("https://www.suredividend.com/sure-analysis-research-database/","Tenaya Therapeutics Inc")</f>
        <v>Tenaya Therapeutics Inc</v>
      </c>
      <c r="C1739">
        <v>0.36814621409921611</v>
      </c>
      <c r="D1739">
        <v>1.794666666666666</v>
      </c>
      <c r="E1739">
        <v>0.34704370179948502</v>
      </c>
      <c r="F1739">
        <v>0.61728395061728303</v>
      </c>
      <c r="G1739">
        <v>0.652996845425867</v>
      </c>
      <c r="H1739">
        <v>-0.59505409582689306</v>
      </c>
      <c r="I1739">
        <v>-0.65863192182410402</v>
      </c>
    </row>
    <row r="1740" spans="1:9" x14ac:dyDescent="0.2">
      <c r="A1740" s="1" t="s">
        <v>1740</v>
      </c>
      <c r="B1740" t="str">
        <f>HYPERLINK("https://www.suredividend.com/sure-analysis-research-database/","Townebank Portsmouth VA")</f>
        <v>Townebank Portsmouth VA</v>
      </c>
      <c r="C1740">
        <v>-3.7788663400979E-2</v>
      </c>
      <c r="D1740">
        <v>4.1035735917625001E-2</v>
      </c>
      <c r="E1740">
        <v>0.171983208676937</v>
      </c>
      <c r="F1740">
        <v>-7.5940860215053002E-2</v>
      </c>
      <c r="G1740">
        <v>-4.2292368985595997E-2</v>
      </c>
      <c r="H1740">
        <v>-3.0700363046773E-2</v>
      </c>
      <c r="I1740">
        <v>0.166262362381041</v>
      </c>
    </row>
    <row r="1741" spans="1:9" x14ac:dyDescent="0.2">
      <c r="A1741" s="1" t="s">
        <v>1741</v>
      </c>
      <c r="B1741" t="str">
        <f>HYPERLINK("https://www.suredividend.com/sure-analysis-research-database/","Turning Point Brands Inc")</f>
        <v>Turning Point Brands Inc</v>
      </c>
      <c r="C1741">
        <v>-7.3091057574520002E-2</v>
      </c>
      <c r="D1741">
        <v>-1.8586331977224001E-2</v>
      </c>
      <c r="E1741">
        <v>-8.0967939141454004E-2</v>
      </c>
      <c r="F1741">
        <v>-0.13753799392097199</v>
      </c>
      <c r="G1741">
        <v>5.3080841351283013E-2</v>
      </c>
      <c r="H1741">
        <v>-0.32159016873576601</v>
      </c>
      <c r="I1741">
        <v>-0.41160460866522303</v>
      </c>
    </row>
    <row r="1742" spans="1:9" x14ac:dyDescent="0.2">
      <c r="A1742" s="1" t="s">
        <v>1742</v>
      </c>
      <c r="B1742" t="str">
        <f>HYPERLINK("https://www.suredividend.com/sure-analysis-research-database/","Tutor Perini Corp")</f>
        <v>Tutor Perini Corp</v>
      </c>
      <c r="C1742">
        <v>9.090909090909001E-2</v>
      </c>
      <c r="D1742">
        <v>9.4944512946979004E-2</v>
      </c>
      <c r="E1742">
        <v>6.2200956937799007E-2</v>
      </c>
      <c r="F1742">
        <v>-2.4175824175824E-2</v>
      </c>
      <c r="G1742">
        <v>-1.0033444816053E-2</v>
      </c>
      <c r="H1742">
        <v>-0.238421955403087</v>
      </c>
      <c r="I1742">
        <v>-0.49858836815358498</v>
      </c>
    </row>
    <row r="1743" spans="1:9" x14ac:dyDescent="0.2">
      <c r="A1743" s="1" t="s">
        <v>1743</v>
      </c>
      <c r="B1743" t="str">
        <f>HYPERLINK("https://www.suredividend.com/sure-analysis-research-database/","Tri Pointe Homes Inc.")</f>
        <v>Tri Pointe Homes Inc.</v>
      </c>
      <c r="C1743">
        <v>-9.399031614924001E-3</v>
      </c>
      <c r="D1743">
        <v>0.17499999999999999</v>
      </c>
      <c r="E1743">
        <v>0.166331321260898</v>
      </c>
      <c r="F1743">
        <v>-1.7514124293784999E-2</v>
      </c>
      <c r="G1743">
        <v>0.56034096007178102</v>
      </c>
      <c r="H1743">
        <v>0.61167747914735804</v>
      </c>
      <c r="I1743">
        <v>1.652936689549962</v>
      </c>
    </row>
    <row r="1744" spans="1:9" x14ac:dyDescent="0.2">
      <c r="A1744" s="1" t="s">
        <v>1744</v>
      </c>
      <c r="B1744" t="str">
        <f>HYPERLINK("https://www.suredividend.com/sure-analysis-research-database/","TPI Composites Inc")</f>
        <v>TPI Composites Inc</v>
      </c>
      <c r="C1744">
        <v>3.0075187969923999E-2</v>
      </c>
      <c r="D1744">
        <v>6.2015503875969012E-2</v>
      </c>
      <c r="E1744">
        <v>-0.42436974789915899</v>
      </c>
      <c r="F1744">
        <v>-0.33816425120772903</v>
      </c>
      <c r="G1744">
        <v>-0.78476040848389605</v>
      </c>
      <c r="H1744">
        <v>-0.73879885605338402</v>
      </c>
      <c r="I1744">
        <v>-0.91215133055466402</v>
      </c>
    </row>
    <row r="1745" spans="1:9" x14ac:dyDescent="0.2">
      <c r="A1745" s="1" t="s">
        <v>1745</v>
      </c>
      <c r="B1745" t="str">
        <f>HYPERLINK("https://www.suredividend.com/sure-analysis-research-database/","Tejon Ranch Co.")</f>
        <v>Tejon Ranch Co.</v>
      </c>
      <c r="C1745">
        <v>3.1055900621116999E-2</v>
      </c>
      <c r="D1745">
        <v>1.4669926650366E-2</v>
      </c>
      <c r="E1745">
        <v>-5.9880239520950004E-3</v>
      </c>
      <c r="F1745">
        <v>-3.4883720930232003E-2</v>
      </c>
      <c r="G1745">
        <v>-0.16999999999999901</v>
      </c>
      <c r="H1745">
        <v>-1.6587677725117999E-2</v>
      </c>
      <c r="I1745">
        <v>-0.14959016393442601</v>
      </c>
    </row>
    <row r="1746" spans="1:9" x14ac:dyDescent="0.2">
      <c r="A1746" s="1" t="s">
        <v>1746</v>
      </c>
      <c r="B1746" t="str">
        <f>HYPERLINK("https://www.suredividend.com/sure-analysis-research-database/","Entrada Therapeutics Inc")</f>
        <v>Entrada Therapeutics Inc</v>
      </c>
      <c r="C1746">
        <v>-7.0307167235494003E-2</v>
      </c>
      <c r="D1746">
        <v>-0.164929491109748</v>
      </c>
      <c r="E1746">
        <v>-0.13523809523809499</v>
      </c>
      <c r="F1746">
        <v>-9.7415506958250006E-2</v>
      </c>
      <c r="G1746">
        <v>0.23146473779385099</v>
      </c>
      <c r="H1746">
        <v>-8.8963210702341006E-2</v>
      </c>
      <c r="I1746">
        <v>-0.43131524008350702</v>
      </c>
    </row>
    <row r="1747" spans="1:9" x14ac:dyDescent="0.2">
      <c r="A1747" s="1" t="s">
        <v>1747</v>
      </c>
      <c r="B1747" t="str">
        <f>HYPERLINK("https://www.suredividend.com/sure-analysis-research-database/","LendingTree Inc.")</f>
        <v>LendingTree Inc.</v>
      </c>
      <c r="C1747">
        <v>0.238611713665943</v>
      </c>
      <c r="D1747">
        <v>1.063855421686746</v>
      </c>
      <c r="E1747">
        <v>0.77237454733574706</v>
      </c>
      <c r="F1747">
        <v>0.12994722955145099</v>
      </c>
      <c r="G1747">
        <v>-0.16985703901138799</v>
      </c>
      <c r="H1747">
        <v>-0.68922351233671908</v>
      </c>
      <c r="I1747">
        <v>-0.89131745075024504</v>
      </c>
    </row>
    <row r="1748" spans="1:9" x14ac:dyDescent="0.2">
      <c r="A1748" s="1" t="s">
        <v>1748</v>
      </c>
      <c r="B1748" t="str">
        <f>HYPERLINK("https://www.suredividend.com/sure-analysis-research-database/","Trustmark Corp.")</f>
        <v>Trustmark Corp.</v>
      </c>
      <c r="C1748">
        <v>-2.9390154298299998E-3</v>
      </c>
      <c r="D1748">
        <v>0.22898298714413101</v>
      </c>
      <c r="E1748">
        <v>0.160354690586334</v>
      </c>
      <c r="F1748">
        <v>-2.6542324246770999E-2</v>
      </c>
      <c r="G1748">
        <v>-1.9753023993295999E-2</v>
      </c>
      <c r="H1748">
        <v>-6.6767073451689002E-2</v>
      </c>
      <c r="I1748">
        <v>-7.5546956696493001E-2</v>
      </c>
    </row>
    <row r="1749" spans="1:9" x14ac:dyDescent="0.2">
      <c r="A1749" s="1" t="s">
        <v>1749</v>
      </c>
      <c r="B1749" t="str">
        <f>HYPERLINK("https://www.suredividend.com/sure-analysis-TRN/","Trinity Industries, Inc.")</f>
        <v>Trinity Industries, Inc.</v>
      </c>
      <c r="C1749">
        <v>6.5613608748481003E-2</v>
      </c>
      <c r="D1749">
        <v>7.0569709102894007E-2</v>
      </c>
      <c r="E1749">
        <v>6.7147985154839995E-2</v>
      </c>
      <c r="F1749">
        <v>5.1337630483100003E-4</v>
      </c>
      <c r="G1749">
        <v>-3.1730960319738002E-2</v>
      </c>
      <c r="H1749">
        <v>-3.1160471641835E-2</v>
      </c>
      <c r="I1749">
        <v>0.216124395057848</v>
      </c>
    </row>
    <row r="1750" spans="1:9" x14ac:dyDescent="0.2">
      <c r="A1750" s="1" t="s">
        <v>1750</v>
      </c>
      <c r="B1750" t="str">
        <f>HYPERLINK("https://www.suredividend.com/sure-analysis-research-database/","Terreno Realty Corp")</f>
        <v>Terreno Realty Corp</v>
      </c>
      <c r="C1750">
        <v>7.5623491552690002E-3</v>
      </c>
      <c r="D1750">
        <v>0.131576997652637</v>
      </c>
      <c r="E1750">
        <v>9.8584927176205012E-2</v>
      </c>
      <c r="F1750">
        <v>-7.9782990266400009E-4</v>
      </c>
      <c r="G1750">
        <v>6.2848612140010002E-3</v>
      </c>
      <c r="H1750">
        <v>-3.2836005313069003E-2</v>
      </c>
      <c r="I1750">
        <v>0.71292269143866804</v>
      </c>
    </row>
    <row r="1751" spans="1:9" x14ac:dyDescent="0.2">
      <c r="A1751" s="1" t="s">
        <v>1751</v>
      </c>
      <c r="B1751" t="str">
        <f>HYPERLINK("https://www.suredividend.com/sure-analysis-research-database/","Transcat Inc")</f>
        <v>Transcat Inc</v>
      </c>
      <c r="C1751">
        <v>3.8260169150221013E-2</v>
      </c>
      <c r="D1751">
        <v>7.8097229482488012E-2</v>
      </c>
      <c r="E1751">
        <v>8.707569049125001E-2</v>
      </c>
      <c r="F1751">
        <v>-5.6800512210738008E-2</v>
      </c>
      <c r="G1751">
        <v>0.12946330777656001</v>
      </c>
      <c r="H1751">
        <v>0.35345845911536911</v>
      </c>
      <c r="I1751">
        <v>3.3291351805205709</v>
      </c>
    </row>
    <row r="1752" spans="1:9" x14ac:dyDescent="0.2">
      <c r="A1752" s="1" t="s">
        <v>1752</v>
      </c>
      <c r="B1752" t="str">
        <f>HYPERLINK("https://www.suredividend.com/sure-analysis-research-database/","Tronox Holdings plc")</f>
        <v>Tronox Holdings plc</v>
      </c>
      <c r="C1752">
        <v>0.15384615384615299</v>
      </c>
      <c r="D1752">
        <v>0.145669291338582</v>
      </c>
      <c r="E1752">
        <v>0.184988516606127</v>
      </c>
      <c r="F1752">
        <v>2.7542372881354998E-2</v>
      </c>
      <c r="G1752">
        <v>-3.6557829705802E-2</v>
      </c>
      <c r="H1752">
        <v>-0.256708777988362</v>
      </c>
      <c r="I1752">
        <v>0.48931378971503398</v>
      </c>
    </row>
    <row r="1753" spans="1:9" x14ac:dyDescent="0.2">
      <c r="A1753" s="1" t="s">
        <v>1753</v>
      </c>
      <c r="B1753" t="str">
        <f>HYPERLINK("https://www.suredividend.com/sure-analysis-research-database/","Trimas Corporation")</f>
        <v>Trimas Corporation</v>
      </c>
      <c r="C1753">
        <v>1.6485725774024001E-2</v>
      </c>
      <c r="D1753">
        <v>3.9046444718453997E-2</v>
      </c>
      <c r="E1753">
        <v>-7.674039763694001E-3</v>
      </c>
      <c r="F1753">
        <v>-1.9739439399910001E-3</v>
      </c>
      <c r="G1753">
        <v>-0.17851932006876001</v>
      </c>
      <c r="H1753">
        <v>-0.213795891710336</v>
      </c>
      <c r="I1753">
        <v>-0.18234274329184599</v>
      </c>
    </row>
    <row r="1754" spans="1:9" x14ac:dyDescent="0.2">
      <c r="A1754" s="1" t="s">
        <v>1754</v>
      </c>
      <c r="B1754" t="str">
        <f>HYPERLINK("https://www.suredividend.com/sure-analysis-TRST/","Trustco Bank Corp.")</f>
        <v>Trustco Bank Corp.</v>
      </c>
      <c r="C1754">
        <v>-4.2253521126760001E-2</v>
      </c>
      <c r="D1754">
        <v>3.4896194863380997E-2</v>
      </c>
      <c r="E1754">
        <v>1.6294244158495001E-2</v>
      </c>
      <c r="F1754">
        <v>-0.102093397745571</v>
      </c>
      <c r="G1754">
        <v>-0.17862298559349499</v>
      </c>
      <c r="H1754">
        <v>-7.5256477019062004E-2</v>
      </c>
      <c r="I1754">
        <v>-0.16000819504199901</v>
      </c>
    </row>
    <row r="1755" spans="1:9" x14ac:dyDescent="0.2">
      <c r="A1755" s="1" t="s">
        <v>1755</v>
      </c>
      <c r="B1755" t="str">
        <f>HYPERLINK("https://www.suredividend.com/sure-analysis-research-database/","TPG RE Finance Trust Inc")</f>
        <v>TPG RE Finance Trust Inc</v>
      </c>
      <c r="C1755">
        <v>-0.10372771474878401</v>
      </c>
      <c r="D1755">
        <v>-7.408612059770001E-4</v>
      </c>
      <c r="E1755">
        <v>-9.4437257438551012E-2</v>
      </c>
      <c r="F1755">
        <v>-0.149230769230769</v>
      </c>
      <c r="G1755">
        <v>-0.212721733435836</v>
      </c>
      <c r="H1755">
        <v>-0.42401233217719098</v>
      </c>
      <c r="I1755">
        <v>-0.46632439370397799</v>
      </c>
    </row>
    <row r="1756" spans="1:9" x14ac:dyDescent="0.2">
      <c r="A1756" s="1" t="s">
        <v>1756</v>
      </c>
      <c r="B1756" t="str">
        <f>HYPERLINK("https://www.suredividend.com/sure-analysis-research-database/","Truecar Inc")</f>
        <v>Truecar Inc</v>
      </c>
      <c r="C1756">
        <v>0.159810126582278</v>
      </c>
      <c r="D1756">
        <v>0.35740740740740701</v>
      </c>
      <c r="E1756">
        <v>0.78780487804878008</v>
      </c>
      <c r="F1756">
        <v>5.9248554913293998E-2</v>
      </c>
      <c r="G1756">
        <v>0.25945017182130498</v>
      </c>
      <c r="H1756">
        <v>3.5310734463275997E-2</v>
      </c>
      <c r="I1756">
        <v>-0.54753086419753005</v>
      </c>
    </row>
    <row r="1757" spans="1:9" x14ac:dyDescent="0.2">
      <c r="A1757" s="1" t="s">
        <v>1757</v>
      </c>
      <c r="B1757" t="str">
        <f>HYPERLINK("https://www.suredividend.com/sure-analysis-research-database/","Trupanion Inc")</f>
        <v>Trupanion Inc</v>
      </c>
      <c r="C1757">
        <v>-0.110827561064527</v>
      </c>
      <c r="D1757">
        <v>-8.2047421904403006E-2</v>
      </c>
      <c r="E1757">
        <v>-0.151356993736951</v>
      </c>
      <c r="F1757">
        <v>-0.20058997050147401</v>
      </c>
      <c r="G1757">
        <v>-0.57977257064093701</v>
      </c>
      <c r="H1757">
        <v>-0.68597914252607106</v>
      </c>
      <c r="I1757">
        <v>-0.180443548387096</v>
      </c>
    </row>
    <row r="1758" spans="1:9" x14ac:dyDescent="0.2">
      <c r="A1758" s="1" t="s">
        <v>1758</v>
      </c>
      <c r="B1758" t="str">
        <f>HYPERLINK("https://www.suredividend.com/sure-analysis-research-database/","Trevi Therapeutics Inc")</f>
        <v>Trevi Therapeutics Inc</v>
      </c>
      <c r="C1758">
        <v>1.029629629629629</v>
      </c>
      <c r="D1758">
        <v>1.1076923076923071</v>
      </c>
      <c r="E1758">
        <v>0.27441860465116202</v>
      </c>
      <c r="F1758">
        <v>1.044776119402985</v>
      </c>
      <c r="G1758">
        <v>4.9808429118774013E-2</v>
      </c>
      <c r="H1758">
        <v>4.4690618762475074</v>
      </c>
      <c r="I1758">
        <v>-0.65272496831432103</v>
      </c>
    </row>
    <row r="1759" spans="1:9" x14ac:dyDescent="0.2">
      <c r="A1759" s="1" t="s">
        <v>1759</v>
      </c>
      <c r="B1759" t="str">
        <f>HYPERLINK("https://www.suredividend.com/sure-analysis-research-database/","Timberland Bancorp, Inc.")</f>
        <v>Timberland Bancorp, Inc.</v>
      </c>
      <c r="C1759">
        <v>-7.3396395774355999E-2</v>
      </c>
      <c r="D1759">
        <v>-7.3082794013026003E-2</v>
      </c>
      <c r="E1759">
        <v>-5.1781090027802998E-2</v>
      </c>
      <c r="F1759">
        <v>-0.13141969515549601</v>
      </c>
      <c r="G1759">
        <v>-0.18271895154168899</v>
      </c>
      <c r="H1759">
        <v>6.1041512656201002E-2</v>
      </c>
      <c r="I1759">
        <v>7.0478484738502004E-2</v>
      </c>
    </row>
    <row r="1760" spans="1:9" x14ac:dyDescent="0.2">
      <c r="A1760" s="1" t="s">
        <v>1760</v>
      </c>
      <c r="B1760" t="str">
        <f>HYPERLINK("https://www.suredividend.com/sure-analysis-research-database/","Turnstone Biologics Corp")</f>
        <v>Turnstone Biologics Corp</v>
      </c>
      <c r="C1760">
        <v>0.18229166666666599</v>
      </c>
      <c r="D1760">
        <v>-0.24834437086092701</v>
      </c>
      <c r="E1760">
        <v>-0.74379232505643311</v>
      </c>
      <c r="F1760">
        <v>-0.108055009823182</v>
      </c>
      <c r="G1760">
        <v>-0.79363636363636303</v>
      </c>
      <c r="H1760">
        <v>-0.79363636363636303</v>
      </c>
      <c r="I1760">
        <v>-0.79363636363636303</v>
      </c>
    </row>
    <row r="1761" spans="1:9" x14ac:dyDescent="0.2">
      <c r="A1761" s="1" t="s">
        <v>1761</v>
      </c>
      <c r="B1761" t="str">
        <f>HYPERLINK("https://www.suredividend.com/sure-analysis-research-database/","Trinseo PLC")</f>
        <v>Trinseo PLC</v>
      </c>
      <c r="C1761">
        <v>-0.19786096256684399</v>
      </c>
      <c r="D1761">
        <v>-0.33842014731178011</v>
      </c>
      <c r="E1761">
        <v>-0.62094090889946507</v>
      </c>
      <c r="F1761">
        <v>-0.46172892668747911</v>
      </c>
      <c r="G1761">
        <v>-0.8275346655322281</v>
      </c>
      <c r="H1761">
        <v>-0.91491678861926906</v>
      </c>
      <c r="I1761">
        <v>-0.91359828578999003</v>
      </c>
    </row>
    <row r="1762" spans="1:9" x14ac:dyDescent="0.2">
      <c r="A1762" s="1" t="s">
        <v>1762</v>
      </c>
      <c r="B1762" t="str">
        <f>HYPERLINK("https://www.suredividend.com/sure-analysis-research-database/","Townsquare Media Inc")</f>
        <v>Townsquare Media Inc</v>
      </c>
      <c r="C1762">
        <v>3.813155386081E-3</v>
      </c>
      <c r="D1762">
        <v>0.113649343232438</v>
      </c>
      <c r="E1762">
        <v>6.2530902192668006E-2</v>
      </c>
      <c r="F1762">
        <v>-2.8409090909089999E-3</v>
      </c>
      <c r="G1762">
        <v>0.57467362533833799</v>
      </c>
      <c r="H1762">
        <v>-3.1581657991059997E-2</v>
      </c>
      <c r="I1762">
        <v>1.052111550679165</v>
      </c>
    </row>
    <row r="1763" spans="1:9" x14ac:dyDescent="0.2">
      <c r="A1763" s="1" t="s">
        <v>1763</v>
      </c>
      <c r="B1763" t="str">
        <f>HYPERLINK("https://www.suredividend.com/sure-analysis-research-database/","2seventy bio Inc")</f>
        <v>2seventy bio Inc</v>
      </c>
      <c r="C1763">
        <v>0.88996763754045305</v>
      </c>
      <c r="D1763">
        <v>2.3563218390804601</v>
      </c>
      <c r="E1763">
        <v>5.0359712230215001E-2</v>
      </c>
      <c r="F1763">
        <v>0.36768149882904</v>
      </c>
      <c r="G1763">
        <v>-0.57341124908692409</v>
      </c>
      <c r="H1763">
        <v>-0.59556786703601106</v>
      </c>
      <c r="I1763">
        <v>-0.82629387269482402</v>
      </c>
    </row>
    <row r="1764" spans="1:9" x14ac:dyDescent="0.2">
      <c r="A1764" s="1" t="s">
        <v>1764</v>
      </c>
      <c r="B1764" t="str">
        <f>HYPERLINK("https://www.suredividend.com/sure-analysis-research-database/","TTEC Holdings Inc")</f>
        <v>TTEC Holdings Inc</v>
      </c>
      <c r="C1764">
        <v>-7.4850299401197001E-2</v>
      </c>
      <c r="D1764">
        <v>3.7899296155920002E-3</v>
      </c>
      <c r="E1764">
        <v>-0.33968480099723902</v>
      </c>
      <c r="F1764">
        <v>-0.14443931702814899</v>
      </c>
      <c r="G1764">
        <v>-0.604317084154115</v>
      </c>
      <c r="H1764">
        <v>-0.74067463758791008</v>
      </c>
      <c r="I1764">
        <v>-0.40487654558761199</v>
      </c>
    </row>
    <row r="1765" spans="1:9" x14ac:dyDescent="0.2">
      <c r="A1765" s="1" t="s">
        <v>1765</v>
      </c>
      <c r="B1765" t="str">
        <f>HYPERLINK("https://www.suredividend.com/sure-analysis-research-database/","Techtarget Inc.")</f>
        <v>Techtarget Inc.</v>
      </c>
      <c r="C1765">
        <v>-1.1807447774750001E-2</v>
      </c>
      <c r="D1765">
        <v>6.9813176007866004E-2</v>
      </c>
      <c r="E1765">
        <v>7.7939233817701001E-2</v>
      </c>
      <c r="F1765">
        <v>-6.3683304647159003E-2</v>
      </c>
      <c r="G1765">
        <v>-0.17928086497359799</v>
      </c>
      <c r="H1765">
        <v>-0.56316916488222701</v>
      </c>
      <c r="I1765">
        <v>1.089628681177977</v>
      </c>
    </row>
    <row r="1766" spans="1:9" x14ac:dyDescent="0.2">
      <c r="A1766" s="1" t="s">
        <v>1766</v>
      </c>
      <c r="B1766" t="str">
        <f>HYPERLINK("https://www.suredividend.com/sure-analysis-research-database/","Tetra Technologies, Inc.")</f>
        <v>Tetra Technologies, Inc.</v>
      </c>
      <c r="C1766">
        <v>-6.5217391304347005E-2</v>
      </c>
      <c r="D1766">
        <v>-0.178343949044585</v>
      </c>
      <c r="E1766">
        <v>-0.26285714285714201</v>
      </c>
      <c r="F1766">
        <v>-0.143805309734513</v>
      </c>
      <c r="G1766">
        <v>-5.1413881748070007E-3</v>
      </c>
      <c r="H1766">
        <v>0.40217391304347799</v>
      </c>
      <c r="I1766">
        <v>0.46037735849056599</v>
      </c>
    </row>
    <row r="1767" spans="1:9" x14ac:dyDescent="0.2">
      <c r="A1767" s="1" t="s">
        <v>1767</v>
      </c>
      <c r="B1767" t="str">
        <f>HYPERLINK("https://www.suredividend.com/sure-analysis-research-database/","TTM Technologies Inc")</f>
        <v>TTM Technologies Inc</v>
      </c>
      <c r="C1767">
        <v>7.5809786354238004E-2</v>
      </c>
      <c r="D1767">
        <v>8.4027777777777007E-2</v>
      </c>
      <c r="E1767">
        <v>7.1379547014413E-2</v>
      </c>
      <c r="F1767">
        <v>-1.2650221378874E-2</v>
      </c>
      <c r="G1767">
        <v>9.237228831350601E-2</v>
      </c>
      <c r="H1767">
        <v>0.26910569105691001</v>
      </c>
      <c r="I1767">
        <v>0.26294498381877002</v>
      </c>
    </row>
    <row r="1768" spans="1:9" x14ac:dyDescent="0.2">
      <c r="A1768" s="1" t="s">
        <v>1768</v>
      </c>
      <c r="B1768" t="str">
        <f>HYPERLINK("https://www.suredividend.com/sure-analysis-research-database/","Tile Shop Hldgs Inc")</f>
        <v>Tile Shop Hldgs Inc</v>
      </c>
      <c r="C1768">
        <v>-6.9306930693069008E-2</v>
      </c>
      <c r="D1768">
        <v>2.8124999999999001E-2</v>
      </c>
      <c r="E1768">
        <v>0.107744107744107</v>
      </c>
      <c r="F1768">
        <v>-0.10597826086956499</v>
      </c>
      <c r="G1768">
        <v>0.12286689419795201</v>
      </c>
      <c r="H1768">
        <v>-1.2012012012012E-2</v>
      </c>
      <c r="I1768">
        <v>9.0667992706779013E-2</v>
      </c>
    </row>
    <row r="1769" spans="1:9" x14ac:dyDescent="0.2">
      <c r="A1769" s="1" t="s">
        <v>1769</v>
      </c>
      <c r="B1769" t="str">
        <f>HYPERLINK("https://www.suredividend.com/sure-analysis-research-database/","Mammoth Energy Services Inc")</f>
        <v>Mammoth Energy Services Inc</v>
      </c>
      <c r="C1769">
        <v>-5.7742782152231012E-2</v>
      </c>
      <c r="D1769">
        <v>-0.193258426966292</v>
      </c>
      <c r="E1769">
        <v>-0.20399113082039899</v>
      </c>
      <c r="F1769">
        <v>-0.19506726457399101</v>
      </c>
      <c r="G1769">
        <v>-0.36234458259324998</v>
      </c>
      <c r="H1769">
        <v>1.40133779264214</v>
      </c>
      <c r="I1769">
        <v>-0.84953708554592011</v>
      </c>
    </row>
    <row r="1770" spans="1:9" x14ac:dyDescent="0.2">
      <c r="A1770" s="1" t="s">
        <v>1770</v>
      </c>
      <c r="B1770" t="str">
        <f>HYPERLINK("https://www.suredividend.com/sure-analysis-research-database/","Travere Therapeutics Inc")</f>
        <v>Travere Therapeutics Inc</v>
      </c>
      <c r="C1770">
        <v>-5.2631578947368002E-2</v>
      </c>
      <c r="D1770">
        <v>0.44</v>
      </c>
      <c r="E1770">
        <v>-0.38983050847457601</v>
      </c>
      <c r="F1770">
        <v>-7.897664071190201E-2</v>
      </c>
      <c r="G1770">
        <v>-0.53535353535353503</v>
      </c>
      <c r="H1770">
        <v>-0.7054429028815361</v>
      </c>
      <c r="I1770">
        <v>-0.60477326968973699</v>
      </c>
    </row>
    <row r="1771" spans="1:9" x14ac:dyDescent="0.2">
      <c r="A1771" s="1" t="s">
        <v>1771</v>
      </c>
      <c r="B1771" t="str">
        <f>HYPERLINK("https://www.suredividend.com/sure-analysis-research-database/","Titan International, Inc.")</f>
        <v>Titan International, Inc.</v>
      </c>
      <c r="C1771">
        <v>-1.6050244242847001E-2</v>
      </c>
      <c r="D1771">
        <v>4.4444444444444002E-2</v>
      </c>
      <c r="E1771">
        <v>0.19390347163420801</v>
      </c>
      <c r="F1771">
        <v>-5.2419354838709013E-2</v>
      </c>
      <c r="G1771">
        <v>-0.10759493670886</v>
      </c>
      <c r="H1771">
        <v>0.26005361930294901</v>
      </c>
      <c r="I1771">
        <v>1.2561443932411669</v>
      </c>
    </row>
    <row r="1772" spans="1:9" x14ac:dyDescent="0.2">
      <c r="A1772" s="1" t="s">
        <v>1772</v>
      </c>
      <c r="B1772" t="str">
        <f>HYPERLINK("https://www.suredividend.com/sure-analysis-research-database/","Thoughtworks Holding Inc")</f>
        <v>Thoughtworks Holding Inc</v>
      </c>
      <c r="C1772">
        <v>-5.2631578947368002E-2</v>
      </c>
      <c r="D1772">
        <v>6.9306930693069008E-2</v>
      </c>
      <c r="E1772">
        <v>-0.132530120481927</v>
      </c>
      <c r="F1772">
        <v>-0.101871101871101</v>
      </c>
      <c r="G1772">
        <v>-0.55873340143003003</v>
      </c>
      <c r="H1772">
        <v>-0.79613025011798011</v>
      </c>
      <c r="I1772">
        <v>3.32</v>
      </c>
    </row>
    <row r="1773" spans="1:9" x14ac:dyDescent="0.2">
      <c r="A1773" s="1" t="s">
        <v>1773</v>
      </c>
      <c r="B1773" t="str">
        <f>HYPERLINK("https://www.suredividend.com/sure-analysis-TWO/","Two Harbors Investment Corp")</f>
        <v>Two Harbors Investment Corp</v>
      </c>
      <c r="C1773">
        <v>-5.5555555555554997E-2</v>
      </c>
      <c r="D1773">
        <v>-5.2361663383996997E-2</v>
      </c>
      <c r="E1773">
        <v>5.1320953857316998E-2</v>
      </c>
      <c r="F1773">
        <v>-5.4399822004672013E-2</v>
      </c>
      <c r="G1773">
        <v>-0.14383561643835599</v>
      </c>
      <c r="H1773">
        <v>-0.182414538272618</v>
      </c>
      <c r="I1773">
        <v>-0.57498441609525608</v>
      </c>
    </row>
    <row r="1774" spans="1:9" x14ac:dyDescent="0.2">
      <c r="A1774" s="1" t="s">
        <v>1774</v>
      </c>
      <c r="B1774" t="str">
        <f>HYPERLINK("https://www.suredividend.com/sure-analysis-research-database/","2U Inc")</f>
        <v>2U Inc</v>
      </c>
      <c r="C1774">
        <v>-0.45666578319639511</v>
      </c>
      <c r="D1774">
        <v>-0.6583333333333331</v>
      </c>
      <c r="E1774">
        <v>-0.85664335664335611</v>
      </c>
      <c r="F1774">
        <v>-0.66666666666666607</v>
      </c>
      <c r="G1774">
        <v>-0.9564293304994681</v>
      </c>
      <c r="H1774">
        <v>-0.95746887966804906</v>
      </c>
      <c r="I1774">
        <v>-0.9939882697947211</v>
      </c>
    </row>
    <row r="1775" spans="1:9" x14ac:dyDescent="0.2">
      <c r="A1775" s="1" t="s">
        <v>1775</v>
      </c>
      <c r="B1775" t="str">
        <f>HYPERLINK("https://www.suredividend.com/sure-analysis-research-database/","Twist Bioscience Corp")</f>
        <v>Twist Bioscience Corp</v>
      </c>
      <c r="C1775">
        <v>0.17589285714285699</v>
      </c>
      <c r="D1775">
        <v>0.59700889248180999</v>
      </c>
      <c r="E1775">
        <v>1.030318602261048</v>
      </c>
      <c r="F1775">
        <v>7.1893651654910004E-2</v>
      </c>
      <c r="G1775">
        <v>0.75444049733570107</v>
      </c>
      <c r="H1775">
        <v>-0.25747040030069501</v>
      </c>
      <c r="I1775">
        <v>0.75678079146287203</v>
      </c>
    </row>
    <row r="1776" spans="1:9" x14ac:dyDescent="0.2">
      <c r="A1776" s="1" t="s">
        <v>1776</v>
      </c>
      <c r="B1776" t="str">
        <f>HYPERLINK("https://www.suredividend.com/sure-analysis-research-database/","Tyra Biosciences Inc")</f>
        <v>Tyra Biosciences Inc</v>
      </c>
      <c r="C1776">
        <v>0.43412033511043302</v>
      </c>
      <c r="D1776">
        <v>0.670807453416149</v>
      </c>
      <c r="E1776">
        <v>0.29238160603980701</v>
      </c>
      <c r="F1776">
        <v>0.35956678700361011</v>
      </c>
      <c r="G1776">
        <v>0.43740458015267097</v>
      </c>
      <c r="H1776">
        <v>0.670807453416149</v>
      </c>
      <c r="I1776">
        <v>-0.27576923076922999</v>
      </c>
    </row>
    <row r="1777" spans="1:9" x14ac:dyDescent="0.2">
      <c r="A1777" s="1" t="s">
        <v>1777</v>
      </c>
      <c r="B1777" t="str">
        <f>HYPERLINK("https://www.suredividend.com/sure-analysis-UBSI/","United Bankshares, Inc.")</f>
        <v>United Bankshares, Inc.</v>
      </c>
      <c r="C1777">
        <v>-4.8673776319386998E-2</v>
      </c>
      <c r="D1777">
        <v>4.9709587387794997E-2</v>
      </c>
      <c r="E1777">
        <v>0.18663087559646999</v>
      </c>
      <c r="F1777">
        <v>-7.3501997336884006E-2</v>
      </c>
      <c r="G1777">
        <v>-9.7432651197542006E-2</v>
      </c>
      <c r="H1777">
        <v>6.4119386915521007E-2</v>
      </c>
      <c r="I1777">
        <v>0.145840194980567</v>
      </c>
    </row>
    <row r="1778" spans="1:9" x14ac:dyDescent="0.2">
      <c r="A1778" s="1" t="s">
        <v>1778</v>
      </c>
      <c r="B1778" t="str">
        <f>HYPERLINK("https://www.suredividend.com/sure-analysis-research-database/","United Community Banks Inc")</f>
        <v>United Community Banks Inc</v>
      </c>
      <c r="C1778">
        <v>-7.2368421052630999E-2</v>
      </c>
      <c r="D1778">
        <v>9.1664799005725009E-2</v>
      </c>
      <c r="E1778">
        <v>1.1734545155570001E-3</v>
      </c>
      <c r="F1778">
        <v>-8.4415584415584013E-2</v>
      </c>
      <c r="G1778">
        <v>-0.15424927389821899</v>
      </c>
      <c r="H1778">
        <v>-0.23562844523573101</v>
      </c>
      <c r="I1778">
        <v>7.037976706554501E-2</v>
      </c>
    </row>
    <row r="1779" spans="1:9" x14ac:dyDescent="0.2">
      <c r="A1779" s="1" t="s">
        <v>1779</v>
      </c>
      <c r="B1779" t="str">
        <f>HYPERLINK("https://www.suredividend.com/sure-analysis-research-database/","Ultra Clean Hldgs Inc")</f>
        <v>Ultra Clean Hldgs Inc</v>
      </c>
      <c r="C1779">
        <v>0.122213268869191</v>
      </c>
      <c r="D1779">
        <v>0.56831831831831803</v>
      </c>
      <c r="E1779">
        <v>0.27455765710799201</v>
      </c>
      <c r="F1779">
        <v>0.223784417106033</v>
      </c>
      <c r="G1779">
        <v>0.168017892088342</v>
      </c>
      <c r="H1779">
        <v>-0.13855670103092699</v>
      </c>
      <c r="I1779">
        <v>2.2513618677042802</v>
      </c>
    </row>
    <row r="1780" spans="1:9" x14ac:dyDescent="0.2">
      <c r="A1780" s="1" t="s">
        <v>1780</v>
      </c>
      <c r="B1780" t="str">
        <f>HYPERLINK("https://www.suredividend.com/sure-analysis-research-database/","Udemy Inc")</f>
        <v>Udemy Inc</v>
      </c>
      <c r="C1780">
        <v>-0.19955489614243299</v>
      </c>
      <c r="D1780">
        <v>-0.22485632183908</v>
      </c>
      <c r="E1780">
        <v>3.5508637236084002E-2</v>
      </c>
      <c r="F1780">
        <v>-0.26748133061778601</v>
      </c>
      <c r="G1780">
        <v>1.3145539906102999E-2</v>
      </c>
      <c r="H1780">
        <v>-0.195976154992548</v>
      </c>
      <c r="I1780">
        <v>-0.60763636363636309</v>
      </c>
    </row>
    <row r="1781" spans="1:9" x14ac:dyDescent="0.2">
      <c r="A1781" s="1" t="s">
        <v>1781</v>
      </c>
      <c r="B1781" t="str">
        <f>HYPERLINK("https://www.suredividend.com/sure-analysis-UE/","Urban Edge Properties")</f>
        <v>Urban Edge Properties</v>
      </c>
      <c r="C1781">
        <v>-2.2883295194508001E-2</v>
      </c>
      <c r="D1781">
        <v>2.3305973279012002E-2</v>
      </c>
      <c r="E1781">
        <v>0.10145936917590399</v>
      </c>
      <c r="F1781">
        <v>-6.6666666666666E-2</v>
      </c>
      <c r="G1781">
        <v>0.124809019545861</v>
      </c>
      <c r="H1781">
        <v>2.0889991333193001E-2</v>
      </c>
      <c r="I1781">
        <v>5.6113773380738002E-2</v>
      </c>
    </row>
    <row r="1782" spans="1:9" x14ac:dyDescent="0.2">
      <c r="A1782" s="1" t="s">
        <v>1782</v>
      </c>
      <c r="B1782" t="str">
        <f>HYPERLINK("https://www.suredividend.com/sure-analysis-research-database/","Uranium Energy Corp")</f>
        <v>Uranium Energy Corp</v>
      </c>
      <c r="C1782">
        <v>-0.13307493540051599</v>
      </c>
      <c r="D1782">
        <v>4.1925465838509E-2</v>
      </c>
      <c r="E1782">
        <v>0.74285714285714211</v>
      </c>
      <c r="F1782">
        <v>4.8437499999999002E-2</v>
      </c>
      <c r="G1782">
        <v>0.71611253196930902</v>
      </c>
      <c r="H1782">
        <v>1.3298611111111109</v>
      </c>
      <c r="I1782">
        <v>3.8273381294964031</v>
      </c>
    </row>
    <row r="1783" spans="1:9" x14ac:dyDescent="0.2">
      <c r="A1783" s="1" t="s">
        <v>1783</v>
      </c>
      <c r="B1783" t="str">
        <f>HYPERLINK("https://www.suredividend.com/sure-analysis-research-database/","United Fire Group Inc")</f>
        <v>United Fire Group Inc</v>
      </c>
      <c r="C1783">
        <v>9.4843462246777005E-2</v>
      </c>
      <c r="D1783">
        <v>0.20387386155956799</v>
      </c>
      <c r="E1783">
        <v>0.238096725655884</v>
      </c>
      <c r="F1783">
        <v>0.181908548707753</v>
      </c>
      <c r="G1783">
        <v>-0.117687435765196</v>
      </c>
      <c r="H1783">
        <v>-0.13315131212020601</v>
      </c>
      <c r="I1783">
        <v>-0.43495709903457902</v>
      </c>
    </row>
    <row r="1784" spans="1:9" x14ac:dyDescent="0.2">
      <c r="A1784" s="1" t="s">
        <v>1784</v>
      </c>
      <c r="B1784" t="str">
        <f>HYPERLINK("https://www.suredividend.com/sure-analysis-research-database/","UFP Industries Inc")</f>
        <v>UFP Industries Inc</v>
      </c>
      <c r="C1784">
        <v>-5.3817056396148012E-2</v>
      </c>
      <c r="D1784">
        <v>3.33472508118E-3</v>
      </c>
      <c r="E1784">
        <v>0.12410618442245799</v>
      </c>
      <c r="F1784">
        <v>-0.123377140581441</v>
      </c>
      <c r="G1784">
        <v>0.28904708195861101</v>
      </c>
      <c r="H1784">
        <v>0.33357728532325798</v>
      </c>
      <c r="I1784">
        <v>2.5660939185883369</v>
      </c>
    </row>
    <row r="1785" spans="1:9" x14ac:dyDescent="0.2">
      <c r="A1785" s="1" t="s">
        <v>1785</v>
      </c>
      <c r="B1785" t="str">
        <f>HYPERLINK("https://www.suredividend.com/sure-analysis-research-database/","UFP Technologies Inc.")</f>
        <v>UFP Technologies Inc.</v>
      </c>
      <c r="C1785">
        <v>0.21701726844583899</v>
      </c>
      <c r="D1785">
        <v>0.15212222090120001</v>
      </c>
      <c r="E1785">
        <v>0.19451463790446799</v>
      </c>
      <c r="F1785">
        <v>0.12654033945594001</v>
      </c>
      <c r="G1785">
        <v>0.64343254472992406</v>
      </c>
      <c r="H1785">
        <v>1.6261517615176151</v>
      </c>
      <c r="I1785">
        <v>4.8998477929984778</v>
      </c>
    </row>
    <row r="1786" spans="1:9" x14ac:dyDescent="0.2">
      <c r="A1786" s="1" t="s">
        <v>1786</v>
      </c>
      <c r="B1786" t="str">
        <f>HYPERLINK("https://www.suredividend.com/sure-analysis-research-database/","United Homes Group Inc")</f>
        <v>United Homes Group Inc</v>
      </c>
      <c r="C1786">
        <v>-0.16889428918590499</v>
      </c>
      <c r="D1786">
        <v>-9.881422924901101E-2</v>
      </c>
      <c r="E1786">
        <v>-0.126436781609195</v>
      </c>
      <c r="F1786">
        <v>-0.18861209964412801</v>
      </c>
      <c r="G1786">
        <v>-0.322772277227722</v>
      </c>
      <c r="H1786">
        <v>-0.29774127310061599</v>
      </c>
      <c r="I1786">
        <v>-0.298461538461538</v>
      </c>
    </row>
    <row r="1787" spans="1:9" x14ac:dyDescent="0.2">
      <c r="A1787" s="1" t="s">
        <v>1787</v>
      </c>
      <c r="B1787" t="str">
        <f>HYPERLINK("https://www.suredividend.com/sure-analysis-UHT/","Universal Health Realty Income Trust")</f>
        <v>Universal Health Realty Income Trust</v>
      </c>
      <c r="C1787">
        <v>-1.4975845410626999E-2</v>
      </c>
      <c r="D1787">
        <v>4.2457520750732003E-2</v>
      </c>
      <c r="E1787">
        <v>-9.2781853857345012E-2</v>
      </c>
      <c r="F1787">
        <v>-5.7109826589595007E-2</v>
      </c>
      <c r="G1787">
        <v>-0.22717142467290199</v>
      </c>
      <c r="H1787">
        <v>-0.205323823721415</v>
      </c>
      <c r="I1787">
        <v>-0.32355434207448802</v>
      </c>
    </row>
    <row r="1788" spans="1:9" x14ac:dyDescent="0.2">
      <c r="A1788" s="1" t="s">
        <v>1788</v>
      </c>
      <c r="B1788" t="str">
        <f>HYPERLINK("https://www.suredividend.com/sure-analysis-research-database/","Unisys Corp.")</f>
        <v>Unisys Corp.</v>
      </c>
      <c r="C1788">
        <v>0.16244411326378499</v>
      </c>
      <c r="D1788">
        <v>0.51750972762645908</v>
      </c>
      <c r="E1788">
        <v>1.096774193548387</v>
      </c>
      <c r="F1788">
        <v>0.38790035587188598</v>
      </c>
      <c r="G1788">
        <v>0.44712430426716099</v>
      </c>
      <c r="H1788">
        <v>-0.61271102284011902</v>
      </c>
      <c r="I1788">
        <v>-0.43722943722943702</v>
      </c>
    </row>
    <row r="1789" spans="1:9" x14ac:dyDescent="0.2">
      <c r="A1789" s="1" t="s">
        <v>1789</v>
      </c>
      <c r="B1789" t="str">
        <f>HYPERLINK("https://www.suredividend.com/sure-analysis-research-database/","Frontier Group Holdings Inc")</f>
        <v>Frontier Group Holdings Inc</v>
      </c>
      <c r="C1789">
        <v>0.66666666666666607</v>
      </c>
      <c r="D1789">
        <v>0.9318181818181821</v>
      </c>
      <c r="E1789">
        <v>0.107091172214182</v>
      </c>
      <c r="F1789">
        <v>0.40109890109890101</v>
      </c>
      <c r="G1789">
        <v>-0.31574239713774499</v>
      </c>
      <c r="H1789">
        <v>-0.40281030444964799</v>
      </c>
      <c r="I1789">
        <v>-0.59416445623342107</v>
      </c>
    </row>
    <row r="1790" spans="1:9" x14ac:dyDescent="0.2">
      <c r="A1790" s="1" t="s">
        <v>1790</v>
      </c>
      <c r="B1790" t="str">
        <f>HYPERLINK("https://www.suredividend.com/sure-analysis-research-database/","Universal Logistics Holdings Inc")</f>
        <v>Universal Logistics Holdings Inc</v>
      </c>
      <c r="C1790">
        <v>8.659029649595601E-2</v>
      </c>
      <c r="D1790">
        <v>0.33149470085752297</v>
      </c>
      <c r="E1790">
        <v>0.17233081176184001</v>
      </c>
      <c r="F1790">
        <v>0.15096359743040599</v>
      </c>
      <c r="G1790">
        <v>1.5546521477628E-2</v>
      </c>
      <c r="H1790">
        <v>0.89987510898508405</v>
      </c>
      <c r="I1790">
        <v>0.51500916052050505</v>
      </c>
    </row>
    <row r="1791" spans="1:9" x14ac:dyDescent="0.2">
      <c r="A1791" s="1" t="s">
        <v>1791</v>
      </c>
      <c r="B1791" t="str">
        <f>HYPERLINK("https://www.suredividend.com/sure-analysis-UMBF/","UMB Financial Corp.")</f>
        <v>UMB Financial Corp.</v>
      </c>
      <c r="C1791">
        <v>7.6837278473160008E-3</v>
      </c>
      <c r="D1791">
        <v>0.135443257162327</v>
      </c>
      <c r="E1791">
        <v>0.27091754275728602</v>
      </c>
      <c r="F1791">
        <v>-2.6810293237582002E-2</v>
      </c>
      <c r="G1791">
        <v>-7.810746153584501E-2</v>
      </c>
      <c r="H1791">
        <v>-0.15828331618361</v>
      </c>
      <c r="I1791">
        <v>0.30669902210508498</v>
      </c>
    </row>
    <row r="1792" spans="1:9" x14ac:dyDescent="0.2">
      <c r="A1792" s="1" t="s">
        <v>1792</v>
      </c>
      <c r="B1792" t="str">
        <f>HYPERLINK("https://www.suredividend.com/sure-analysis-UMH/","UMH Properties Inc")</f>
        <v>UMH Properties Inc</v>
      </c>
      <c r="C1792">
        <v>-5.7515551317726003E-2</v>
      </c>
      <c r="D1792">
        <v>3.6598416208888998E-2</v>
      </c>
      <c r="E1792">
        <v>-6.1219603953620002E-3</v>
      </c>
      <c r="F1792">
        <v>-3.7831180097077012E-2</v>
      </c>
      <c r="G1792">
        <v>-0.130840506541128</v>
      </c>
      <c r="H1792">
        <v>-0.304168761822665</v>
      </c>
      <c r="I1792">
        <v>0.33248963721066699</v>
      </c>
    </row>
    <row r="1793" spans="1:9" x14ac:dyDescent="0.2">
      <c r="A1793" s="1" t="s">
        <v>1793</v>
      </c>
      <c r="B1793" t="str">
        <f>HYPERLINK("https://www.suredividend.com/sure-analysis-UNF/","Unifirst Corp.")</f>
        <v>Unifirst Corp.</v>
      </c>
      <c r="C1793">
        <v>1.3800168735687001E-2</v>
      </c>
      <c r="D1793">
        <v>-1.1889280851807999E-2</v>
      </c>
      <c r="E1793">
        <v>-2.3254247679916001E-2</v>
      </c>
      <c r="F1793">
        <v>-8.0258050407304007E-2</v>
      </c>
      <c r="G1793">
        <v>-0.157216685937346</v>
      </c>
      <c r="H1793">
        <v>-4.8384578660011002E-2</v>
      </c>
      <c r="I1793">
        <v>0.16928213875138401</v>
      </c>
    </row>
    <row r="1794" spans="1:9" x14ac:dyDescent="0.2">
      <c r="A1794" s="1" t="s">
        <v>1794</v>
      </c>
      <c r="B1794" t="str">
        <f>HYPERLINK("https://www.suredividend.com/sure-analysis-research-database/","United Natural Foods Inc.")</f>
        <v>United Natural Foods Inc.</v>
      </c>
      <c r="C1794">
        <v>8.8737201365187007E-2</v>
      </c>
      <c r="D1794">
        <v>4.3848167539267013E-2</v>
      </c>
      <c r="E1794">
        <v>-0.23793597706641101</v>
      </c>
      <c r="F1794">
        <v>-1.7252002464570999E-2</v>
      </c>
      <c r="G1794">
        <v>-0.62898348453128605</v>
      </c>
      <c r="H1794">
        <v>-0.59569074778200204</v>
      </c>
      <c r="I1794">
        <v>5.9800664451827003E-2</v>
      </c>
    </row>
    <row r="1795" spans="1:9" x14ac:dyDescent="0.2">
      <c r="A1795" s="1" t="s">
        <v>1795</v>
      </c>
      <c r="B1795" t="str">
        <f>HYPERLINK("https://www.suredividend.com/sure-analysis-UNIT/","Uniti Group Inc")</f>
        <v>Uniti Group Inc</v>
      </c>
      <c r="C1795">
        <v>2.2018348623853001E-2</v>
      </c>
      <c r="D1795">
        <v>4.7465021814352013E-2</v>
      </c>
      <c r="E1795">
        <v>0.12198855853678101</v>
      </c>
      <c r="F1795">
        <v>-3.6332179930795003E-2</v>
      </c>
      <c r="G1795">
        <v>0.105751096817739</v>
      </c>
      <c r="H1795">
        <v>-0.37875729151563098</v>
      </c>
      <c r="I1795">
        <v>-0.32263988033709901</v>
      </c>
    </row>
    <row r="1796" spans="1:9" x14ac:dyDescent="0.2">
      <c r="A1796" s="1" t="s">
        <v>1796</v>
      </c>
      <c r="B1796" t="str">
        <f>HYPERLINK("https://www.suredividend.com/sure-analysis-research-database/","Unity Bancorp, Inc.")</f>
        <v>Unity Bancorp, Inc.</v>
      </c>
      <c r="C1796">
        <v>-7.5478142076502011E-2</v>
      </c>
      <c r="D1796">
        <v>3.0951392565115001E-2</v>
      </c>
      <c r="E1796">
        <v>0.140764527153735</v>
      </c>
      <c r="F1796">
        <v>-8.5163906725244001E-2</v>
      </c>
      <c r="G1796">
        <v>5.3377071635088001E-2</v>
      </c>
      <c r="H1796">
        <v>-1.0791038285712E-2</v>
      </c>
      <c r="I1796">
        <v>0.47002123303665</v>
      </c>
    </row>
    <row r="1797" spans="1:9" x14ac:dyDescent="0.2">
      <c r="A1797" s="1" t="s">
        <v>1797</v>
      </c>
      <c r="B1797" t="str">
        <f>HYPERLINK("https://www.suredividend.com/sure-analysis-research-database/","Urban One Inc")</f>
        <v>Urban One Inc</v>
      </c>
      <c r="C1797">
        <v>-2.092050209205E-2</v>
      </c>
      <c r="D1797">
        <v>-0.20945945945945901</v>
      </c>
      <c r="E1797">
        <v>-0.33015267175572499</v>
      </c>
      <c r="F1797">
        <v>-0.12903225806451599</v>
      </c>
      <c r="G1797">
        <v>-0.49496402877697798</v>
      </c>
      <c r="H1797">
        <v>-0.333965844402277</v>
      </c>
      <c r="I1797">
        <v>0.55999999999999905</v>
      </c>
    </row>
    <row r="1798" spans="1:9" x14ac:dyDescent="0.2">
      <c r="A1798" s="1" t="s">
        <v>1798</v>
      </c>
      <c r="B1798" t="str">
        <f>HYPERLINK("https://www.suredividend.com/sure-analysis-research-database/","Urban One Inc")</f>
        <v>Urban One Inc</v>
      </c>
      <c r="C1798">
        <v>-0.118309859154929</v>
      </c>
      <c r="D1798">
        <v>-0.28211009174311902</v>
      </c>
      <c r="E1798">
        <v>-0.39807692307692311</v>
      </c>
      <c r="F1798">
        <v>-0.113314447592068</v>
      </c>
      <c r="G1798">
        <v>-0.38627450980392097</v>
      </c>
      <c r="H1798">
        <v>-0.26352941176470501</v>
      </c>
      <c r="I1798">
        <v>0.55721393034825806</v>
      </c>
    </row>
    <row r="1799" spans="1:9" x14ac:dyDescent="0.2">
      <c r="A1799" s="1" t="s">
        <v>1799</v>
      </c>
      <c r="B1799" t="str">
        <f>HYPERLINK("https://www.suredividend.com/sure-analysis-research-database/","Upbound Group Inc")</f>
        <v>Upbound Group Inc</v>
      </c>
      <c r="C1799">
        <v>1.5351550506590001E-3</v>
      </c>
      <c r="D1799">
        <v>0.111967111408059</v>
      </c>
      <c r="E1799">
        <v>0.16329245286383101</v>
      </c>
      <c r="F1799">
        <v>-3.9740947895201002E-2</v>
      </c>
      <c r="G1799">
        <v>0.165832737669763</v>
      </c>
      <c r="H1799">
        <v>-0.119686951828363</v>
      </c>
      <c r="I1799">
        <v>1.110753063892016</v>
      </c>
    </row>
    <row r="1800" spans="1:9" x14ac:dyDescent="0.2">
      <c r="A1800" s="1" t="s">
        <v>1800</v>
      </c>
      <c r="B1800" t="str">
        <f>HYPERLINK("https://www.suredividend.com/sure-analysis-research-database/","Upstart Holdings Inc")</f>
        <v>Upstart Holdings Inc</v>
      </c>
      <c r="C1800">
        <v>-0.218721321505047</v>
      </c>
      <c r="D1800">
        <v>-1.7314351673719999E-2</v>
      </c>
      <c r="E1800">
        <v>-0.20411343097538101</v>
      </c>
      <c r="F1800">
        <v>-0.374938815467449</v>
      </c>
      <c r="G1800">
        <v>0.39410480349344901</v>
      </c>
      <c r="H1800">
        <v>-0.80361399461745409</v>
      </c>
      <c r="I1800">
        <v>-0.13335595520868601</v>
      </c>
    </row>
    <row r="1801" spans="1:9" x14ac:dyDescent="0.2">
      <c r="A1801" s="1" t="s">
        <v>1801</v>
      </c>
      <c r="B1801" t="str">
        <f>HYPERLINK("https://www.suredividend.com/sure-analysis-research-database/","Upwork Inc")</f>
        <v>Upwork Inc</v>
      </c>
      <c r="C1801">
        <v>-0.12672176308539901</v>
      </c>
      <c r="D1801">
        <v>-0.10892480674631</v>
      </c>
      <c r="E1801">
        <v>-8.7769784172661E-2</v>
      </c>
      <c r="F1801">
        <v>-0.147276395427034</v>
      </c>
      <c r="G1801">
        <v>8.1911262798634005E-2</v>
      </c>
      <c r="H1801">
        <v>-0.48223764801959912</v>
      </c>
      <c r="I1801">
        <v>-0.43493761140819898</v>
      </c>
    </row>
    <row r="1802" spans="1:9" x14ac:dyDescent="0.2">
      <c r="A1802" s="1" t="s">
        <v>1802</v>
      </c>
      <c r="B1802" t="str">
        <f>HYPERLINK("https://www.suredividend.com/sure-analysis-research-database/","Urban Outfitters, Inc.")</f>
        <v>Urban Outfitters, Inc.</v>
      </c>
      <c r="C1802">
        <v>8.2538886101354E-2</v>
      </c>
      <c r="D1802">
        <v>0.17032818009221501</v>
      </c>
      <c r="E1802">
        <v>0.20733072188024601</v>
      </c>
      <c r="F1802">
        <v>0.20902213505183501</v>
      </c>
      <c r="G1802">
        <v>0.517762926486106</v>
      </c>
      <c r="H1802">
        <v>0.62096168294515308</v>
      </c>
      <c r="I1802">
        <v>0.42975480450629511</v>
      </c>
    </row>
    <row r="1803" spans="1:9" x14ac:dyDescent="0.2">
      <c r="A1803" s="1" t="s">
        <v>1803</v>
      </c>
      <c r="B1803" t="str">
        <f>HYPERLINK("https://www.suredividend.com/sure-analysis-research-database/","UroGen Pharma Ltd")</f>
        <v>UroGen Pharma Ltd</v>
      </c>
      <c r="C1803">
        <v>0.30264048747460998</v>
      </c>
      <c r="D1803">
        <v>0.54786806114239706</v>
      </c>
      <c r="E1803">
        <v>8.3857442348000012E-3</v>
      </c>
      <c r="F1803">
        <v>0.28266666666666601</v>
      </c>
      <c r="G1803">
        <v>0.88258317025440203</v>
      </c>
      <c r="H1803">
        <v>2.1335504885993481</v>
      </c>
      <c r="I1803">
        <v>-0.53827693784497199</v>
      </c>
    </row>
    <row r="1804" spans="1:9" x14ac:dyDescent="0.2">
      <c r="A1804" s="1" t="s">
        <v>1804</v>
      </c>
      <c r="B1804" t="str">
        <f>HYPERLINK("https://www.suredividend.com/sure-analysis-research-database/","USCB Financial Holdings Inc")</f>
        <v>USCB Financial Holdings Inc</v>
      </c>
      <c r="C1804">
        <v>-9.5739037468069013E-2</v>
      </c>
      <c r="D1804">
        <v>-5.7622793961301003E-2</v>
      </c>
      <c r="E1804">
        <v>-2.97745256376E-4</v>
      </c>
      <c r="F1804">
        <v>-8.7622796254971005E-2</v>
      </c>
      <c r="G1804">
        <v>-0.10083181172651599</v>
      </c>
      <c r="H1804">
        <v>-0.18419037521352399</v>
      </c>
      <c r="I1804">
        <v>-0.197083994579592</v>
      </c>
    </row>
    <row r="1805" spans="1:9" x14ac:dyDescent="0.2">
      <c r="A1805" s="1" t="s">
        <v>1805</v>
      </c>
      <c r="B1805" t="str">
        <f>HYPERLINK("https://www.suredividend.com/sure-analysis-research-database/","United States Lime &amp; Minerals Inc.")</f>
        <v>United States Lime &amp; Minerals Inc.</v>
      </c>
      <c r="C1805">
        <v>0.112332058012278</v>
      </c>
      <c r="D1805">
        <v>0.20527577498369401</v>
      </c>
      <c r="E1805">
        <v>0.234367378695993</v>
      </c>
      <c r="F1805">
        <v>8.5435207293249008E-2</v>
      </c>
      <c r="G1805">
        <v>0.54348938607976605</v>
      </c>
      <c r="H1805">
        <v>1.11108193476864</v>
      </c>
      <c r="I1805">
        <v>2.706262090229242</v>
      </c>
    </row>
    <row r="1806" spans="1:9" x14ac:dyDescent="0.2">
      <c r="A1806" s="1" t="s">
        <v>1806</v>
      </c>
      <c r="B1806" t="str">
        <f>HYPERLINK("https://www.suredividend.com/sure-analysis-research-database/","Usana Health Sciences Inc")</f>
        <v>Usana Health Sciences Inc</v>
      </c>
      <c r="C1806">
        <v>3.1809563935115998E-2</v>
      </c>
      <c r="D1806">
        <v>5.9256055363321007E-2</v>
      </c>
      <c r="E1806">
        <v>-0.22683504340962901</v>
      </c>
      <c r="F1806">
        <v>-8.6194029850746007E-2</v>
      </c>
      <c r="G1806">
        <v>-0.21355170199100801</v>
      </c>
      <c r="H1806">
        <v>-0.45547526403557498</v>
      </c>
      <c r="I1806">
        <v>-0.50759022820951005</v>
      </c>
    </row>
    <row r="1807" spans="1:9" x14ac:dyDescent="0.2">
      <c r="A1807" s="1" t="s">
        <v>1807</v>
      </c>
      <c r="B1807" t="str">
        <f>HYPERLINK("https://www.suredividend.com/sure-analysis-research-database/","U.S. Physical Therapy, Inc.")</f>
        <v>U.S. Physical Therapy, Inc.</v>
      </c>
      <c r="C1807">
        <v>9.3000856164383014E-2</v>
      </c>
      <c r="D1807">
        <v>0.18673018824076201</v>
      </c>
      <c r="E1807">
        <v>5.4471153325510004E-3</v>
      </c>
      <c r="F1807">
        <v>9.652136568606301E-2</v>
      </c>
      <c r="G1807">
        <v>2.2227160034150002E-2</v>
      </c>
      <c r="H1807">
        <v>7.7744724453819011E-2</v>
      </c>
      <c r="I1807">
        <v>-2.8968365647176E-2</v>
      </c>
    </row>
    <row r="1808" spans="1:9" x14ac:dyDescent="0.2">
      <c r="A1808" s="1" t="s">
        <v>1808</v>
      </c>
      <c r="B1808" t="str">
        <f>HYPERLINK("https://www.suredividend.com/sure-analysis-research-database/","Universal Technical Institute Inc")</f>
        <v>Universal Technical Institute Inc</v>
      </c>
      <c r="C1808">
        <v>6.3082437275985004E-2</v>
      </c>
      <c r="D1808">
        <v>0.32174688057041001</v>
      </c>
      <c r="E1808">
        <v>0.86775818639798408</v>
      </c>
      <c r="F1808">
        <v>0.18450479233226799</v>
      </c>
      <c r="G1808">
        <v>0.93098958333333304</v>
      </c>
      <c r="H1808">
        <v>0.71842410196987205</v>
      </c>
      <c r="I1808">
        <v>3.361764705882353</v>
      </c>
    </row>
    <row r="1809" spans="1:9" x14ac:dyDescent="0.2">
      <c r="A1809" s="1" t="s">
        <v>1809</v>
      </c>
      <c r="B1809" t="str">
        <f>HYPERLINK("https://www.suredividend.com/sure-analysis-research-database/","Unitil Corp.")</f>
        <v>Unitil Corp.</v>
      </c>
      <c r="C1809">
        <v>3.9318027994734002E-2</v>
      </c>
      <c r="D1809">
        <v>2.6013100830483998E-2</v>
      </c>
      <c r="E1809">
        <v>2.6979232699215001E-2</v>
      </c>
      <c r="F1809">
        <v>-3.9564715226908E-2</v>
      </c>
      <c r="G1809">
        <v>-7.4527696690595002E-2</v>
      </c>
      <c r="H1809">
        <v>9.2743493417562009E-2</v>
      </c>
      <c r="I1809">
        <v>9.6563764328601004E-2</v>
      </c>
    </row>
    <row r="1810" spans="1:9" x14ac:dyDescent="0.2">
      <c r="A1810" s="1" t="s">
        <v>1810</v>
      </c>
      <c r="B1810" t="str">
        <f>HYPERLINK("https://www.suredividend.com/sure-analysis-research-database/","Utah Medical Products, Inc.")</f>
        <v>Utah Medical Products, Inc.</v>
      </c>
      <c r="C1810">
        <v>-0.11051344743276199</v>
      </c>
      <c r="D1810">
        <v>-0.126819925210854</v>
      </c>
      <c r="E1810">
        <v>-0.19913617656867899</v>
      </c>
      <c r="F1810">
        <v>-0.13607219187841299</v>
      </c>
      <c r="G1810">
        <v>-0.186023226753389</v>
      </c>
      <c r="H1810">
        <v>-0.16929449400718299</v>
      </c>
      <c r="I1810">
        <v>-0.123841130577294</v>
      </c>
    </row>
    <row r="1811" spans="1:9" x14ac:dyDescent="0.2">
      <c r="A1811" s="1" t="s">
        <v>1811</v>
      </c>
      <c r="B1811" t="str">
        <f>HYPERLINK("https://www.suredividend.com/sure-analysis-research-database/","Utz Brands Inc")</f>
        <v>Utz Brands Inc</v>
      </c>
      <c r="C1811">
        <v>0.157372986369268</v>
      </c>
      <c r="D1811">
        <v>0.45155023700365199</v>
      </c>
      <c r="E1811">
        <v>0.25516546279186902</v>
      </c>
      <c r="F1811">
        <v>0.150246305418719</v>
      </c>
      <c r="G1811">
        <v>0.151551018395226</v>
      </c>
      <c r="H1811">
        <v>0.29010870616185702</v>
      </c>
      <c r="I1811">
        <v>0.8964467005076141</v>
      </c>
    </row>
    <row r="1812" spans="1:9" x14ac:dyDescent="0.2">
      <c r="A1812" s="1" t="s">
        <v>1812</v>
      </c>
      <c r="B1812" t="str">
        <f>HYPERLINK("https://www.suredividend.com/sure-analysis-research-database/","Energy Fuels Inc")</f>
        <v>Energy Fuels Inc</v>
      </c>
      <c r="C1812">
        <v>-0.16462585034013599</v>
      </c>
      <c r="D1812">
        <v>-0.28604651162790601</v>
      </c>
      <c r="E1812">
        <v>-5.5384615384614998E-2</v>
      </c>
      <c r="F1812">
        <v>-0.14603616133518699</v>
      </c>
      <c r="G1812">
        <v>-0.13031161473087799</v>
      </c>
      <c r="H1812">
        <v>-1.4446227929374E-2</v>
      </c>
      <c r="I1812">
        <v>1.060402684563758</v>
      </c>
    </row>
    <row r="1813" spans="1:9" x14ac:dyDescent="0.2">
      <c r="A1813" s="1" t="s">
        <v>1813</v>
      </c>
      <c r="B1813" t="str">
        <f>HYPERLINK("https://www.suredividend.com/sure-analysis-research-database/","Universal Insurance Holdings Inc")</f>
        <v>Universal Insurance Holdings Inc</v>
      </c>
      <c r="C1813">
        <v>5.5151515151515007E-2</v>
      </c>
      <c r="D1813">
        <v>5.4557128406412997E-2</v>
      </c>
      <c r="E1813">
        <v>0.28555394748501001</v>
      </c>
      <c r="F1813">
        <v>8.9486858573216005E-2</v>
      </c>
      <c r="G1813">
        <v>0.41598822314217598</v>
      </c>
      <c r="H1813">
        <v>0.51106173568136604</v>
      </c>
      <c r="I1813">
        <v>-0.48495086176802898</v>
      </c>
    </row>
    <row r="1814" spans="1:9" x14ac:dyDescent="0.2">
      <c r="A1814" s="1" t="s">
        <v>1814</v>
      </c>
      <c r="B1814" t="str">
        <f>HYPERLINK("https://www.suredividend.com/sure-analysis-research-database/","Univest Financial Corp")</f>
        <v>Univest Financial Corp</v>
      </c>
      <c r="C1814">
        <v>6.6428461082290004E-3</v>
      </c>
      <c r="D1814">
        <v>8.2430861068391009E-2</v>
      </c>
      <c r="E1814">
        <v>0.117936797830538</v>
      </c>
      <c r="F1814">
        <v>-7.3322231550166012E-2</v>
      </c>
      <c r="G1814">
        <v>-0.23887609882553301</v>
      </c>
      <c r="H1814">
        <v>-0.24171612404322901</v>
      </c>
      <c r="I1814">
        <v>-3.9170452113111001E-2</v>
      </c>
    </row>
    <row r="1815" spans="1:9" x14ac:dyDescent="0.2">
      <c r="A1815" s="1" t="s">
        <v>1815</v>
      </c>
      <c r="B1815" t="str">
        <f>HYPERLINK("https://www.suredividend.com/sure-analysis-UVV/","Universal Corp.")</f>
        <v>Universal Corp.</v>
      </c>
      <c r="C1815">
        <v>-0.15784982935153499</v>
      </c>
      <c r="D1815">
        <v>-7.4247767689652008E-2</v>
      </c>
      <c r="E1815">
        <v>5.8252114895944007E-2</v>
      </c>
      <c r="F1815">
        <v>-0.25783000622610602</v>
      </c>
      <c r="G1815">
        <v>-1.6364035000298E-2</v>
      </c>
      <c r="H1815">
        <v>1.0194055514615E-2</v>
      </c>
      <c r="I1815">
        <v>0.116379446854909</v>
      </c>
    </row>
    <row r="1816" spans="1:9" x14ac:dyDescent="0.2">
      <c r="A1816" s="1" t="s">
        <v>1816</v>
      </c>
      <c r="B1816" t="str">
        <f>HYPERLINK("https://www.suredividend.com/sure-analysis-research-database/","Virginia National Bankshares Corp")</f>
        <v>Virginia National Bankshares Corp</v>
      </c>
      <c r="C1816">
        <v>-9.4646554273883007E-2</v>
      </c>
      <c r="D1816">
        <v>-0.11507750660584</v>
      </c>
      <c r="E1816">
        <v>-0.12350529161130699</v>
      </c>
      <c r="F1816">
        <v>-0.109656777196044</v>
      </c>
      <c r="G1816">
        <v>-0.16933739664207101</v>
      </c>
      <c r="H1816">
        <v>-6.4249183014028002E-2</v>
      </c>
      <c r="I1816">
        <v>0.49665318814998699</v>
      </c>
    </row>
    <row r="1817" spans="1:9" x14ac:dyDescent="0.2">
      <c r="A1817" s="1" t="s">
        <v>1817</v>
      </c>
      <c r="B1817" t="str">
        <f>HYPERLINK("https://www.suredividend.com/sure-analysis-research-database/","Valaris Ltd")</f>
        <v>Valaris Ltd</v>
      </c>
      <c r="C1817">
        <v>-5.0105644431029002E-2</v>
      </c>
      <c r="D1817">
        <v>-6.3114022030366007E-2</v>
      </c>
      <c r="E1817">
        <v>-0.15990389749065601</v>
      </c>
      <c r="F1817">
        <v>-8.2105877205775002E-2</v>
      </c>
      <c r="G1817">
        <v>-0.147616468039003</v>
      </c>
      <c r="H1817">
        <v>0.56411530815109301</v>
      </c>
      <c r="I1817">
        <v>1.6556962025316451</v>
      </c>
    </row>
    <row r="1818" spans="1:9" x14ac:dyDescent="0.2">
      <c r="A1818" s="1" t="s">
        <v>1818</v>
      </c>
      <c r="B1818" t="str">
        <f>HYPERLINK("https://www.suredividend.com/sure-analysis-research-database/","Value Line, Inc.")</f>
        <v>Value Line, Inc.</v>
      </c>
      <c r="C1818">
        <v>2.139209313953E-2</v>
      </c>
      <c r="D1818">
        <v>9.7515163925740011E-3</v>
      </c>
      <c r="E1818">
        <v>-9.631511428770001E-2</v>
      </c>
      <c r="F1818">
        <v>-0.109346875136244</v>
      </c>
      <c r="G1818">
        <v>-0.106871468603097</v>
      </c>
      <c r="H1818">
        <v>-0.22385953485847601</v>
      </c>
      <c r="I1818">
        <v>1.5086398961458161</v>
      </c>
    </row>
    <row r="1819" spans="1:9" x14ac:dyDescent="0.2">
      <c r="A1819" s="1" t="s">
        <v>1819</v>
      </c>
      <c r="B1819" t="str">
        <f>HYPERLINK("https://www.suredividend.com/sure-analysis-research-database/","Innovate Corp")</f>
        <v>Innovate Corp</v>
      </c>
      <c r="C1819">
        <v>-0.234433962264151</v>
      </c>
      <c r="D1819">
        <v>-0.19653465346534599</v>
      </c>
      <c r="E1819">
        <v>-0.48962264150943402</v>
      </c>
      <c r="F1819">
        <v>-0.34024390243902403</v>
      </c>
      <c r="G1819">
        <v>-0.72950000000000004</v>
      </c>
      <c r="H1819">
        <v>-0.78700787401574801</v>
      </c>
      <c r="I1819">
        <v>-0.76079587324981501</v>
      </c>
    </row>
    <row r="1820" spans="1:9" x14ac:dyDescent="0.2">
      <c r="A1820" s="1" t="s">
        <v>1820</v>
      </c>
      <c r="B1820" t="str">
        <f>HYPERLINK("https://www.suredividend.com/sure-analysis-research-database/","Vaxxinity Inc")</f>
        <v>Vaxxinity Inc</v>
      </c>
      <c r="C1820">
        <v>-0.10956424892106301</v>
      </c>
      <c r="D1820">
        <v>-0.35400464599535397</v>
      </c>
      <c r="E1820">
        <v>-0.70927272727272705</v>
      </c>
      <c r="F1820">
        <v>-0.247529411764705</v>
      </c>
      <c r="G1820">
        <v>-0.71947368421052604</v>
      </c>
      <c r="H1820">
        <v>-0.8797744360902251</v>
      </c>
      <c r="I1820">
        <v>-0.9613534743202411</v>
      </c>
    </row>
    <row r="1821" spans="1:9" x14ac:dyDescent="0.2">
      <c r="A1821" s="1" t="s">
        <v>1821</v>
      </c>
      <c r="B1821" t="str">
        <f>HYPERLINK("https://www.suredividend.com/sure-analysis-research-database/","Veritex Holdings Inc")</f>
        <v>Veritex Holdings Inc</v>
      </c>
      <c r="C1821">
        <v>-4.1569517876159E-2</v>
      </c>
      <c r="D1821">
        <v>7.011533989125901E-2</v>
      </c>
      <c r="E1821">
        <v>9.0355980146234013E-2</v>
      </c>
      <c r="F1821">
        <v>-0.104175253663541</v>
      </c>
      <c r="G1821">
        <v>-0.208388064212398</v>
      </c>
      <c r="H1821">
        <v>-0.43350552768835299</v>
      </c>
      <c r="I1821">
        <v>-0.13224456856457201</v>
      </c>
    </row>
    <row r="1822" spans="1:9" x14ac:dyDescent="0.2">
      <c r="A1822" s="1" t="s">
        <v>1822</v>
      </c>
      <c r="B1822" t="str">
        <f>HYPERLINK("https://www.suredividend.com/sure-analysis-research-database/","Visteon Corp.")</f>
        <v>Visteon Corp.</v>
      </c>
      <c r="C1822">
        <v>9.2735703245740014E-3</v>
      </c>
      <c r="D1822">
        <v>-1.1105502271579E-2</v>
      </c>
      <c r="E1822">
        <v>-0.13637031594415799</v>
      </c>
      <c r="F1822">
        <v>-5.8927141713369997E-2</v>
      </c>
      <c r="G1822">
        <v>-0.279514527399779</v>
      </c>
      <c r="H1822">
        <v>-2.3510841571819999E-2</v>
      </c>
      <c r="I1822">
        <v>0.41853729181752303</v>
      </c>
    </row>
    <row r="1823" spans="1:9" x14ac:dyDescent="0.2">
      <c r="A1823" s="1" t="s">
        <v>1823</v>
      </c>
      <c r="B1823" t="str">
        <f>HYPERLINK("https://www.suredividend.com/sure-analysis-research-database/","Vericel Corp")</f>
        <v>Vericel Corp</v>
      </c>
      <c r="C1823">
        <v>0.247794302999747</v>
      </c>
      <c r="D1823">
        <v>0.34987728388328299</v>
      </c>
      <c r="E1823">
        <v>0.51700888752681506</v>
      </c>
      <c r="F1823">
        <v>0.39005897219882002</v>
      </c>
      <c r="G1823">
        <v>0.65995975855130706</v>
      </c>
      <c r="H1823">
        <v>0.41833810888252099</v>
      </c>
      <c r="I1823">
        <v>1.555498193082085</v>
      </c>
    </row>
    <row r="1824" spans="1:9" x14ac:dyDescent="0.2">
      <c r="A1824" s="1" t="s">
        <v>1824</v>
      </c>
      <c r="B1824" t="str">
        <f>HYPERLINK("https://www.suredividend.com/sure-analysis-research-database/","Victory Capital Holdings Inc")</f>
        <v>Victory Capital Holdings Inc</v>
      </c>
      <c r="C1824">
        <v>4.8340961098398007E-2</v>
      </c>
      <c r="D1824">
        <v>0.14439340904336201</v>
      </c>
      <c r="E1824">
        <v>0.141538289031888</v>
      </c>
      <c r="F1824">
        <v>6.4169570267131007E-2</v>
      </c>
      <c r="G1824">
        <v>0.17001816481134399</v>
      </c>
      <c r="H1824">
        <v>0.21229963151383599</v>
      </c>
      <c r="I1824">
        <v>2.3137132575654831</v>
      </c>
    </row>
    <row r="1825" spans="1:9" x14ac:dyDescent="0.2">
      <c r="A1825" s="1" t="s">
        <v>1825</v>
      </c>
      <c r="B1825" t="str">
        <f>HYPERLINK("https://www.suredividend.com/sure-analysis-research-database/","Veracyte Inc")</f>
        <v>Veracyte Inc</v>
      </c>
      <c r="C1825">
        <v>-1.9584802193497002E-2</v>
      </c>
      <c r="D1825">
        <v>-3.8786482334868998E-2</v>
      </c>
      <c r="E1825">
        <v>9.6813231141590003E-3</v>
      </c>
      <c r="F1825">
        <v>-9.0149036713922007E-2</v>
      </c>
      <c r="G1825">
        <v>-1.6889238020424E-2</v>
      </c>
      <c r="H1825">
        <v>-1.1843663639952E-2</v>
      </c>
      <c r="I1825">
        <v>0.31667543398211401</v>
      </c>
    </row>
    <row r="1826" spans="1:9" x14ac:dyDescent="0.2">
      <c r="A1826" s="1" t="s">
        <v>1826</v>
      </c>
      <c r="B1826" t="str">
        <f>HYPERLINK("https://www.suredividend.com/sure-analysis-research-database/","Veeco Instruments Inc")</f>
        <v>Veeco Instruments Inc</v>
      </c>
      <c r="C1826">
        <v>3.8414259373078997E-2</v>
      </c>
      <c r="D1826">
        <v>0.157588215142171</v>
      </c>
      <c r="E1826">
        <v>0.196106194690265</v>
      </c>
      <c r="F1826">
        <v>8.8946181115049011E-2</v>
      </c>
      <c r="G1826">
        <v>0.55570902394106803</v>
      </c>
      <c r="H1826">
        <v>0.25566703827573301</v>
      </c>
      <c r="I1826">
        <v>1.8954584404455861</v>
      </c>
    </row>
    <row r="1827" spans="1:9" x14ac:dyDescent="0.2">
      <c r="A1827" s="1" t="s">
        <v>1827</v>
      </c>
      <c r="B1827" t="str">
        <f>HYPERLINK("https://www.suredividend.com/sure-analysis-research-database/","Velocity Financial Inc")</f>
        <v>Velocity Financial Inc</v>
      </c>
      <c r="C1827">
        <v>-1.1972274732199001E-2</v>
      </c>
      <c r="D1827">
        <v>8.1379310344827011E-2</v>
      </c>
      <c r="E1827">
        <v>0.229803921568627</v>
      </c>
      <c r="F1827">
        <v>-8.9430894308943007E-2</v>
      </c>
      <c r="G1827">
        <v>0.60820512820512806</v>
      </c>
      <c r="H1827">
        <v>0.25440000000000002</v>
      </c>
      <c r="I1827">
        <v>0.16062176165803099</v>
      </c>
    </row>
    <row r="1828" spans="1:9" x14ac:dyDescent="0.2">
      <c r="A1828" s="1" t="s">
        <v>1828</v>
      </c>
      <c r="B1828" t="str">
        <f>HYPERLINK("https://www.suredividend.com/sure-analysis-research-database/","Vera Therapeutics Inc")</f>
        <v>Vera Therapeutics Inc</v>
      </c>
      <c r="C1828">
        <v>1.9933020763563289</v>
      </c>
      <c r="D1828">
        <v>2.3103703703703702</v>
      </c>
      <c r="E1828">
        <v>1.60128055878929</v>
      </c>
      <c r="F1828">
        <v>1.905721716514954</v>
      </c>
      <c r="G1828">
        <v>4.3329355608591884</v>
      </c>
      <c r="H1828">
        <v>1.0462454212454211</v>
      </c>
      <c r="I1828">
        <v>2.8860869565217389</v>
      </c>
    </row>
    <row r="1829" spans="1:9" x14ac:dyDescent="0.2">
      <c r="A1829" s="1" t="s">
        <v>1829</v>
      </c>
      <c r="B1829" t="str">
        <f>HYPERLINK("https://www.suredividend.com/sure-analysis-research-database/","Veritone Inc")</f>
        <v>Veritone Inc</v>
      </c>
      <c r="C1829">
        <v>0.36686390532544311</v>
      </c>
      <c r="D1829">
        <v>6.4516129032258007E-2</v>
      </c>
      <c r="E1829">
        <v>-0.17793594306049801</v>
      </c>
      <c r="F1829">
        <v>0.27624309392265101</v>
      </c>
      <c r="G1829">
        <v>-0.72368421052631504</v>
      </c>
      <c r="H1829">
        <v>-0.85616438356164304</v>
      </c>
      <c r="I1829">
        <v>-0.53521126760563309</v>
      </c>
    </row>
    <row r="1830" spans="1:9" x14ac:dyDescent="0.2">
      <c r="A1830" s="1" t="s">
        <v>1830</v>
      </c>
      <c r="B1830" t="str">
        <f>HYPERLINK("https://www.suredividend.com/sure-analysis-research-database/","Verve Therapeutics Inc")</f>
        <v>Verve Therapeutics Inc</v>
      </c>
      <c r="C1830">
        <v>9.3802345058626002E-2</v>
      </c>
      <c r="D1830">
        <v>5.6634304207119013E-2</v>
      </c>
      <c r="E1830">
        <v>-6.9800569800569007E-2</v>
      </c>
      <c r="F1830">
        <v>-6.3127690100430012E-2</v>
      </c>
      <c r="G1830">
        <v>-0.38104265402843601</v>
      </c>
      <c r="H1830">
        <v>-0.51195814648729399</v>
      </c>
      <c r="I1830">
        <v>-0.59085213032581407</v>
      </c>
    </row>
    <row r="1831" spans="1:9" x14ac:dyDescent="0.2">
      <c r="A1831" s="1" t="s">
        <v>1831</v>
      </c>
      <c r="B1831" t="str">
        <f>HYPERLINK("https://www.suredividend.com/sure-analysis-research-database/","Verde Clean Fuels Inc")</f>
        <v>Verde Clean Fuels Inc</v>
      </c>
      <c r="C1831">
        <v>1.5023696682464449</v>
      </c>
      <c r="D1831">
        <v>0.56676557863501409</v>
      </c>
      <c r="E1831">
        <v>0.17594654788418701</v>
      </c>
      <c r="F1831">
        <v>1.2372881355932199</v>
      </c>
      <c r="G1831">
        <v>-0.52645739910313805</v>
      </c>
      <c r="H1831">
        <v>-0.46987951807228912</v>
      </c>
      <c r="I1831">
        <v>-0.46395939086294402</v>
      </c>
    </row>
    <row r="1832" spans="1:9" x14ac:dyDescent="0.2">
      <c r="A1832" s="1" t="s">
        <v>1832</v>
      </c>
      <c r="B1832" t="str">
        <f>HYPERLINK("https://www.suredividend.com/sure-analysis-VGR/","Vector Group Ltd")</f>
        <v>Vector Group Ltd</v>
      </c>
      <c r="C1832">
        <v>7.7745383867833001E-2</v>
      </c>
      <c r="D1832">
        <v>5.3811872250254002E-2</v>
      </c>
      <c r="E1832">
        <v>9.1492460926735006E-2</v>
      </c>
      <c r="F1832">
        <v>-1.6843971631205001E-2</v>
      </c>
      <c r="G1832">
        <v>-0.17417529227790601</v>
      </c>
      <c r="H1832">
        <v>0.14319289962786899</v>
      </c>
      <c r="I1832">
        <v>0.36060264023163302</v>
      </c>
    </row>
    <row r="1833" spans="1:9" x14ac:dyDescent="0.2">
      <c r="A1833" s="1" t="s">
        <v>1833</v>
      </c>
      <c r="B1833" t="str">
        <f>HYPERLINK("https://www.suredividend.com/sure-analysis-research-database/","Valhi, Inc.")</f>
        <v>Valhi, Inc.</v>
      </c>
      <c r="C1833">
        <v>-5.4252199413489001E-2</v>
      </c>
      <c r="D1833">
        <v>-2.8072871931648001E-2</v>
      </c>
      <c r="E1833">
        <v>1.9875717470708001E-2</v>
      </c>
      <c r="F1833">
        <v>-0.150757077024358</v>
      </c>
      <c r="G1833">
        <v>-0.46919041250900101</v>
      </c>
      <c r="H1833">
        <v>-0.48824551520585202</v>
      </c>
      <c r="I1833">
        <v>-0.68133277010753102</v>
      </c>
    </row>
    <row r="1834" spans="1:9" x14ac:dyDescent="0.2">
      <c r="A1834" s="1" t="s">
        <v>1834</v>
      </c>
      <c r="B1834" t="str">
        <f>HYPERLINK("https://www.suredividend.com/sure-analysis-research-database/","Viavi Solutions Inc")</f>
        <v>Viavi Solutions Inc</v>
      </c>
      <c r="C1834">
        <v>-6.2130177514793002E-2</v>
      </c>
      <c r="D1834">
        <v>0.178438661710037</v>
      </c>
      <c r="E1834">
        <v>-6.2130177514793002E-2</v>
      </c>
      <c r="F1834">
        <v>-5.5610724925521007E-2</v>
      </c>
      <c r="G1834">
        <v>-0.14631956912028701</v>
      </c>
      <c r="H1834">
        <v>-0.42641737032569299</v>
      </c>
      <c r="I1834">
        <v>-0.27625570776255698</v>
      </c>
    </row>
    <row r="1835" spans="1:9" x14ac:dyDescent="0.2">
      <c r="A1835" s="1" t="s">
        <v>1835</v>
      </c>
      <c r="B1835" t="str">
        <f>HYPERLINK("https://www.suredividend.com/sure-analysis-research-database/","Vicor Corp.")</f>
        <v>Vicor Corp.</v>
      </c>
      <c r="C1835">
        <v>0.27067061675195198</v>
      </c>
      <c r="D1835">
        <v>0.178027465667915</v>
      </c>
      <c r="E1835">
        <v>-0.297812174430718</v>
      </c>
      <c r="F1835">
        <v>4.9844236760124012E-2</v>
      </c>
      <c r="G1835">
        <v>-0.23021700114211099</v>
      </c>
      <c r="H1835">
        <v>-0.50430762765286807</v>
      </c>
      <c r="I1835">
        <v>0.24682875264270601</v>
      </c>
    </row>
    <row r="1836" spans="1:9" x14ac:dyDescent="0.2">
      <c r="A1836" s="1" t="s">
        <v>1836</v>
      </c>
      <c r="B1836" t="str">
        <f>HYPERLINK("https://www.suredividend.com/sure-analysis-research-database/","Vigil Neuroscience Inc")</f>
        <v>Vigil Neuroscience Inc</v>
      </c>
      <c r="C1836">
        <v>8.7412587412587006E-2</v>
      </c>
      <c r="D1836">
        <v>-0.147945205479452</v>
      </c>
      <c r="E1836">
        <v>-0.39961389961389898</v>
      </c>
      <c r="F1836">
        <v>-7.9881656804733012E-2</v>
      </c>
      <c r="G1836">
        <v>-0.75149820215741103</v>
      </c>
      <c r="H1836">
        <v>-0.80440251572327004</v>
      </c>
      <c r="I1836">
        <v>-0.75415019762845803</v>
      </c>
    </row>
    <row r="1837" spans="1:9" x14ac:dyDescent="0.2">
      <c r="A1837" s="1" t="s">
        <v>1837</v>
      </c>
      <c r="B1837" t="str">
        <f>HYPERLINK("https://www.suredividend.com/sure-analysis-research-database/","Vir Biotechnology Inc")</f>
        <v>Vir Biotechnology Inc</v>
      </c>
      <c r="C1837">
        <v>7.7976817702845008E-2</v>
      </c>
      <c r="D1837">
        <v>4.3877551020408002E-2</v>
      </c>
      <c r="E1837">
        <v>-0.16693811074918499</v>
      </c>
      <c r="F1837">
        <v>1.68986083499E-2</v>
      </c>
      <c r="G1837">
        <v>-0.60256410256410209</v>
      </c>
      <c r="H1837">
        <v>-0.66047129107202107</v>
      </c>
      <c r="I1837">
        <v>-0.27032810271041302</v>
      </c>
    </row>
    <row r="1838" spans="1:9" x14ac:dyDescent="0.2">
      <c r="A1838" s="1" t="s">
        <v>1838</v>
      </c>
      <c r="B1838" t="str">
        <f>HYPERLINK("https://www.suredividend.com/sure-analysis-research-database/","Vital Farms Inc")</f>
        <v>Vital Farms Inc</v>
      </c>
      <c r="C1838">
        <v>0.116585704371963</v>
      </c>
      <c r="D1838">
        <v>0.25019425019425001</v>
      </c>
      <c r="E1838">
        <v>0.28617106314947999</v>
      </c>
      <c r="F1838">
        <v>2.5493945188016998E-2</v>
      </c>
      <c r="G1838">
        <v>-3.097893432465E-3</v>
      </c>
      <c r="H1838">
        <v>0.118137595552466</v>
      </c>
      <c r="I1838">
        <v>-0.54367555303460002</v>
      </c>
    </row>
    <row r="1839" spans="1:9" x14ac:dyDescent="0.2">
      <c r="A1839" s="1" t="s">
        <v>1839</v>
      </c>
      <c r="B1839" t="str">
        <f>HYPERLINK("https://www.suredividend.com/sure-analysis-research-database/","Viking Therapeutics Inc")</f>
        <v>Viking Therapeutics Inc</v>
      </c>
      <c r="C1839">
        <v>0.64170877354157108</v>
      </c>
      <c r="D1839">
        <v>2.0365335598980461</v>
      </c>
      <c r="E1839">
        <v>1.5565092989985689</v>
      </c>
      <c r="F1839">
        <v>0.92047286405158513</v>
      </c>
      <c r="G1839">
        <v>2.165633303808681</v>
      </c>
      <c r="H1839">
        <v>9.5117647058823565</v>
      </c>
      <c r="I1839">
        <v>3.0752565564424179</v>
      </c>
    </row>
    <row r="1840" spans="1:9" x14ac:dyDescent="0.2">
      <c r="A1840" s="1" t="s">
        <v>1840</v>
      </c>
      <c r="B1840" t="str">
        <f>HYPERLINK("https://www.suredividend.com/sure-analysis-research-database/","Velo3D Inc")</f>
        <v>Velo3D Inc</v>
      </c>
      <c r="C1840">
        <v>7.9999999999999002E-2</v>
      </c>
      <c r="D1840">
        <v>-0.74702702702702706</v>
      </c>
      <c r="E1840">
        <v>-0.79942857142857104</v>
      </c>
      <c r="F1840">
        <v>-0.293762575452716</v>
      </c>
      <c r="G1840">
        <v>-0.9178947368421051</v>
      </c>
      <c r="H1840">
        <v>-0.96189959294436911</v>
      </c>
      <c r="I1840">
        <v>-0.96445569620253102</v>
      </c>
    </row>
    <row r="1841" spans="1:9" x14ac:dyDescent="0.2">
      <c r="A1841" s="1" t="s">
        <v>1841</v>
      </c>
      <c r="B1841" t="str">
        <f>HYPERLINK("https://www.suredividend.com/sure-analysis-research-database/","Village Super Market, Inc.")</f>
        <v>Village Super Market, Inc.</v>
      </c>
      <c r="C1841">
        <v>-3.8895371450789998E-3</v>
      </c>
      <c r="D1841">
        <v>6.910126196529201E-2</v>
      </c>
      <c r="E1841">
        <v>0.120792651171339</v>
      </c>
      <c r="F1841">
        <v>-4.6715532720300003E-3</v>
      </c>
      <c r="G1841">
        <v>0.20192420509210299</v>
      </c>
      <c r="H1841">
        <v>0.259473096651404</v>
      </c>
      <c r="I1841">
        <v>5.6465851525502007E-2</v>
      </c>
    </row>
    <row r="1842" spans="1:9" x14ac:dyDescent="0.2">
      <c r="A1842" s="1" t="s">
        <v>1842</v>
      </c>
      <c r="B1842" t="str">
        <f>HYPERLINK("https://www.suredividend.com/sure-analysis-research-database/","Valley National Bancorp")</f>
        <v>Valley National Bancorp</v>
      </c>
      <c r="C1842">
        <v>-0.195945945945945</v>
      </c>
      <c r="D1842">
        <v>-5.9766352502963013E-2</v>
      </c>
      <c r="E1842">
        <v>-4.8369776315488007E-2</v>
      </c>
      <c r="F1842">
        <v>-0.23296500920810301</v>
      </c>
      <c r="G1842">
        <v>-0.27081418454616202</v>
      </c>
      <c r="H1842">
        <v>-0.35174088312658502</v>
      </c>
      <c r="I1842">
        <v>-1.1487160013290001E-2</v>
      </c>
    </row>
    <row r="1843" spans="1:9" x14ac:dyDescent="0.2">
      <c r="A1843" s="1" t="s">
        <v>1843</v>
      </c>
      <c r="B1843" t="str">
        <f>HYPERLINK("https://www.suredividend.com/sure-analysis-research-database/","Viemed Healthcare Inc")</f>
        <v>Viemed Healthcare Inc</v>
      </c>
      <c r="C1843">
        <v>9.3023255813953001E-2</v>
      </c>
      <c r="D1843">
        <v>9.8701298701298013E-2</v>
      </c>
      <c r="E1843">
        <v>5.3549190535492001E-2</v>
      </c>
      <c r="F1843">
        <v>7.7707006369426013E-2</v>
      </c>
      <c r="G1843">
        <v>-7.032967032967001E-2</v>
      </c>
      <c r="H1843">
        <v>1.0992555831265509</v>
      </c>
      <c r="I1843">
        <v>0.20512820512820501</v>
      </c>
    </row>
    <row r="1844" spans="1:9" x14ac:dyDescent="0.2">
      <c r="A1844" s="1" t="s">
        <v>1844</v>
      </c>
      <c r="B1844" t="str">
        <f>HYPERLINK("https://www.suredividend.com/sure-analysis-research-database/","Vimeo Inc")</f>
        <v>Vimeo Inc</v>
      </c>
      <c r="C1844">
        <v>3.7940379403794001E-2</v>
      </c>
      <c r="D1844">
        <v>5.2493438320200007E-3</v>
      </c>
      <c r="E1844">
        <v>-3.5264483627204003E-2</v>
      </c>
      <c r="F1844">
        <v>-2.2959183673469E-2</v>
      </c>
      <c r="G1844">
        <v>-6.5853658536585008E-2</v>
      </c>
      <c r="H1844">
        <v>-0.6967537608867771</v>
      </c>
      <c r="I1844">
        <v>-0.91562018065653206</v>
      </c>
    </row>
    <row r="1845" spans="1:9" x14ac:dyDescent="0.2">
      <c r="A1845" s="1" t="s">
        <v>1845</v>
      </c>
      <c r="B1845" t="str">
        <f>HYPERLINK("https://www.suredividend.com/sure-analysis-research-database/","Vanda Pharmaceuticals Inc")</f>
        <v>Vanda Pharmaceuticals Inc</v>
      </c>
      <c r="C1845">
        <v>0.188524590163934</v>
      </c>
      <c r="D1845">
        <v>0.215083798882681</v>
      </c>
      <c r="E1845">
        <v>-0.256410256410256</v>
      </c>
      <c r="F1845">
        <v>3.0805687203791E-2</v>
      </c>
      <c r="G1845">
        <v>-0.38385269121812998</v>
      </c>
      <c r="H1845">
        <v>-0.67561521252796408</v>
      </c>
      <c r="I1845">
        <v>-0.78634577603143407</v>
      </c>
    </row>
    <row r="1846" spans="1:9" x14ac:dyDescent="0.2">
      <c r="A1846" s="1" t="s">
        <v>1846</v>
      </c>
      <c r="B1846" t="str">
        <f>HYPERLINK("https://www.suredividend.com/sure-analysis-research-database/","Vor Biopharma Inc")</f>
        <v>Vor Biopharma Inc</v>
      </c>
      <c r="C1846">
        <v>-8.6092715231788006E-2</v>
      </c>
      <c r="D1846">
        <v>0.224852071005917</v>
      </c>
      <c r="E1846">
        <v>-0.293515358361774</v>
      </c>
      <c r="F1846">
        <v>-0.08</v>
      </c>
      <c r="G1846">
        <v>-0.64615384615384608</v>
      </c>
      <c r="H1846">
        <v>-0.77837259100642409</v>
      </c>
      <c r="I1846">
        <v>-0.94480000000000008</v>
      </c>
    </row>
    <row r="1847" spans="1:9" x14ac:dyDescent="0.2">
      <c r="A1847" s="1" t="s">
        <v>1847</v>
      </c>
      <c r="B1847" t="str">
        <f>HYPERLINK("https://www.suredividend.com/sure-analysis-research-database/","VOXX International Corp")</f>
        <v>VOXX International Corp</v>
      </c>
      <c r="C1847">
        <v>-3.6363636363636001E-2</v>
      </c>
      <c r="D1847">
        <v>-0.21262766945218101</v>
      </c>
      <c r="E1847">
        <v>-1.2805587892898001E-2</v>
      </c>
      <c r="F1847">
        <v>-0.205992509363295</v>
      </c>
      <c r="G1847">
        <v>-0.23603603603603601</v>
      </c>
      <c r="H1847">
        <v>-0.27397260273972601</v>
      </c>
      <c r="I1847">
        <v>0.67258382642998005</v>
      </c>
    </row>
    <row r="1848" spans="1:9" x14ac:dyDescent="0.2">
      <c r="A1848" s="1" t="s">
        <v>1848</v>
      </c>
      <c r="B1848" t="str">
        <f>HYPERLINK("https://www.suredividend.com/sure-analysis-research-database/","Vishay Precision Group Inc")</f>
        <v>Vishay Precision Group Inc</v>
      </c>
      <c r="C1848">
        <v>0.100129198966408</v>
      </c>
      <c r="D1848">
        <v>0.11818778726198199</v>
      </c>
      <c r="E1848">
        <v>-2.8245363766047998E-2</v>
      </c>
      <c r="F1848">
        <v>-2.9351335485699998E-4</v>
      </c>
      <c r="G1848">
        <v>-0.19593956562795001</v>
      </c>
      <c r="H1848">
        <v>5.6779398076326003E-2</v>
      </c>
      <c r="I1848">
        <v>-4.7272727272727001E-2</v>
      </c>
    </row>
    <row r="1849" spans="1:9" x14ac:dyDescent="0.2">
      <c r="A1849" s="1" t="s">
        <v>1849</v>
      </c>
      <c r="B1849" t="str">
        <f>HYPERLINK("https://www.suredividend.com/sure-analysis-research-database/","Vera Bradley Inc")</f>
        <v>Vera Bradley Inc</v>
      </c>
      <c r="C1849">
        <v>6.7114093959730007E-3</v>
      </c>
      <c r="D1849">
        <v>-5.8971141781681002E-2</v>
      </c>
      <c r="E1849">
        <v>8.0691642651296011E-2</v>
      </c>
      <c r="F1849">
        <v>-2.5974025974025001E-2</v>
      </c>
      <c r="G1849">
        <v>0.28865979381443202</v>
      </c>
      <c r="H1849">
        <v>-3.8461538461538013E-2</v>
      </c>
      <c r="I1849">
        <v>-0.208025343189018</v>
      </c>
    </row>
    <row r="1850" spans="1:9" x14ac:dyDescent="0.2">
      <c r="A1850" s="1" t="s">
        <v>1850</v>
      </c>
      <c r="B1850" t="str">
        <f>HYPERLINK("https://www.suredividend.com/sure-analysis-research-database/","Verrica Pharmaceuticals Inc")</f>
        <v>Verrica Pharmaceuticals Inc</v>
      </c>
      <c r="C1850">
        <v>-0.121827411167512</v>
      </c>
      <c r="D1850">
        <v>0.39892183288409699</v>
      </c>
      <c r="E1850">
        <v>0.15590200445434299</v>
      </c>
      <c r="F1850">
        <v>-0.29098360655737698</v>
      </c>
      <c r="G1850">
        <v>-0.344696969696969</v>
      </c>
      <c r="H1850">
        <v>-0.34303797468354402</v>
      </c>
      <c r="I1850">
        <v>-0.53327338129496304</v>
      </c>
    </row>
    <row r="1851" spans="1:9" x14ac:dyDescent="0.2">
      <c r="A1851" s="1" t="s">
        <v>1851</v>
      </c>
      <c r="B1851" t="str">
        <f>HYPERLINK("https://www.suredividend.com/sure-analysis-research-database/","Viridian Therapeutics Inc")</f>
        <v>Viridian Therapeutics Inc</v>
      </c>
      <c r="C1851">
        <v>-4.2807366849178012E-2</v>
      </c>
      <c r="D1851">
        <v>0.18777022853613301</v>
      </c>
      <c r="E1851">
        <v>-1.1311053984574999E-2</v>
      </c>
      <c r="F1851">
        <v>-0.117079889807162</v>
      </c>
      <c r="G1851">
        <v>-0.41674249317561401</v>
      </c>
      <c r="H1851">
        <v>9.2613636363636009E-2</v>
      </c>
      <c r="I1851">
        <v>-0.55331010452961604</v>
      </c>
    </row>
    <row r="1852" spans="1:9" x14ac:dyDescent="0.2">
      <c r="A1852" s="1" t="s">
        <v>1852</v>
      </c>
      <c r="B1852" t="str">
        <f>HYPERLINK("https://www.suredividend.com/sure-analysis-research-database/","Veris Residential Inc")</f>
        <v>Veris Residential Inc</v>
      </c>
      <c r="C1852">
        <v>5.1314945477860001E-3</v>
      </c>
      <c r="D1852">
        <v>0.156901541551001</v>
      </c>
      <c r="E1852">
        <v>-0.13209637219606701</v>
      </c>
      <c r="F1852">
        <v>-3.8143674507310002E-3</v>
      </c>
      <c r="G1852">
        <v>-5.5136152046501012E-2</v>
      </c>
      <c r="H1852">
        <v>-9.5249917723748009E-2</v>
      </c>
      <c r="I1852">
        <v>-0.21896416804980201</v>
      </c>
    </row>
    <row r="1853" spans="1:9" x14ac:dyDescent="0.2">
      <c r="A1853" s="1" t="s">
        <v>1853</v>
      </c>
      <c r="B1853" t="str">
        <f>HYPERLINK("https://www.suredividend.com/sure-analysis-research-database/","Varex Imaging Corp")</f>
        <v>Varex Imaging Corp</v>
      </c>
      <c r="C1853">
        <v>-0.14054600606673401</v>
      </c>
      <c r="D1853">
        <v>-0.10761154855643</v>
      </c>
      <c r="E1853">
        <v>-0.147014550928248</v>
      </c>
      <c r="F1853">
        <v>-0.17073170731707299</v>
      </c>
      <c r="G1853">
        <v>-7.1038251366120006E-2</v>
      </c>
      <c r="H1853">
        <v>-0.278438030560271</v>
      </c>
      <c r="I1853">
        <v>-0.46540880503144599</v>
      </c>
    </row>
    <row r="1854" spans="1:9" x14ac:dyDescent="0.2">
      <c r="A1854" s="1" t="s">
        <v>1854</v>
      </c>
      <c r="B1854" t="str">
        <f>HYPERLINK("https://www.suredividend.com/sure-analysis-research-database/","Varonis Systems Inc")</f>
        <v>Varonis Systems Inc</v>
      </c>
      <c r="C1854">
        <v>8.1838565022421011E-2</v>
      </c>
      <c r="D1854">
        <v>0.23055343024738501</v>
      </c>
      <c r="E1854">
        <v>0.62075915351024502</v>
      </c>
      <c r="F1854">
        <v>6.5591872791518999E-2</v>
      </c>
      <c r="G1854">
        <v>0.76545920234174902</v>
      </c>
      <c r="H1854">
        <v>0.222137791286727</v>
      </c>
      <c r="I1854">
        <v>1.7025815955593639</v>
      </c>
    </row>
    <row r="1855" spans="1:9" x14ac:dyDescent="0.2">
      <c r="A1855" s="1" t="s">
        <v>1855</v>
      </c>
      <c r="B1855" t="str">
        <f>HYPERLINK("https://www.suredividend.com/sure-analysis-research-database/","Verint Systems, Inc.")</f>
        <v>Verint Systems, Inc.</v>
      </c>
      <c r="C1855">
        <v>0.10724331926863501</v>
      </c>
      <c r="D1855">
        <v>0.35382631126397202</v>
      </c>
      <c r="E1855">
        <v>-3.2862407862408002E-2</v>
      </c>
      <c r="F1855">
        <v>0.16500184979652199</v>
      </c>
      <c r="G1855">
        <v>-0.17952058363731099</v>
      </c>
      <c r="H1855">
        <v>-0.38194308145240402</v>
      </c>
      <c r="I1855">
        <v>7.2244563015223001E-2</v>
      </c>
    </row>
    <row r="1856" spans="1:9" x14ac:dyDescent="0.2">
      <c r="A1856" s="1" t="s">
        <v>1856</v>
      </c>
      <c r="B1856" t="str">
        <f>HYPERLINK("https://www.suredividend.com/sure-analysis-research-database/","Verra Mobility Corp")</f>
        <v>Verra Mobility Corp</v>
      </c>
      <c r="C1856">
        <v>-1.2372956252761001E-2</v>
      </c>
      <c r="D1856">
        <v>0.12142498745609601</v>
      </c>
      <c r="E1856">
        <v>0.17322834645669299</v>
      </c>
      <c r="F1856">
        <v>-2.9526704298739999E-2</v>
      </c>
      <c r="G1856">
        <v>0.40654499685336698</v>
      </c>
      <c r="H1856">
        <v>0.32014176018901302</v>
      </c>
      <c r="I1856">
        <v>1.0336669699727019</v>
      </c>
    </row>
    <row r="1857" spans="1:9" x14ac:dyDescent="0.2">
      <c r="A1857" s="1" t="s">
        <v>1857</v>
      </c>
      <c r="B1857" t="str">
        <f>HYPERLINK("https://www.suredividend.com/sure-analysis-research-database/","Virtus Investment Partners Inc")</f>
        <v>Virtus Investment Partners Inc</v>
      </c>
      <c r="C1857">
        <v>-2.0969439021832001E-2</v>
      </c>
      <c r="D1857">
        <v>0.18720566658649401</v>
      </c>
      <c r="E1857">
        <v>0.21696645746058199</v>
      </c>
      <c r="F1857">
        <v>-2.7489490375085999E-2</v>
      </c>
      <c r="G1857">
        <v>0.13730208364549701</v>
      </c>
      <c r="H1857">
        <v>9.0540260165940002E-3</v>
      </c>
      <c r="I1857">
        <v>1.637202901720618</v>
      </c>
    </row>
    <row r="1858" spans="1:9" x14ac:dyDescent="0.2">
      <c r="A1858" s="1" t="s">
        <v>1858</v>
      </c>
      <c r="B1858" t="str">
        <f>HYPERLINK("https://www.suredividend.com/sure-analysis-research-database/","VSE Corp.")</f>
        <v>VSE Corp.</v>
      </c>
      <c r="C1858">
        <v>0.19615502004451299</v>
      </c>
      <c r="D1858">
        <v>0.115876121114788</v>
      </c>
      <c r="E1858">
        <v>0.33861924188404502</v>
      </c>
      <c r="F1858">
        <v>8.3408138606665003E-2</v>
      </c>
      <c r="G1858">
        <v>0.27452305870917998</v>
      </c>
      <c r="H1858">
        <v>0.49835580365868598</v>
      </c>
      <c r="I1858">
        <v>1.136358207492566</v>
      </c>
    </row>
    <row r="1859" spans="1:9" x14ac:dyDescent="0.2">
      <c r="A1859" s="1" t="s">
        <v>1859</v>
      </c>
      <c r="B1859" t="str">
        <f>HYPERLINK("https://www.suredividend.com/sure-analysis-research-database/","Vishay Intertechnology, Inc.")</f>
        <v>Vishay Intertechnology, Inc.</v>
      </c>
      <c r="C1859">
        <v>-2.1066786194530999E-2</v>
      </c>
      <c r="D1859">
        <v>-3.4615061596332E-2</v>
      </c>
      <c r="E1859">
        <v>-0.16633584755855499</v>
      </c>
      <c r="F1859">
        <v>-8.8861076345431E-2</v>
      </c>
      <c r="G1859">
        <v>3.7909354015483003E-2</v>
      </c>
      <c r="H1859">
        <v>0.13075668539180399</v>
      </c>
      <c r="I1859">
        <v>8.2699610347118008E-2</v>
      </c>
    </row>
    <row r="1860" spans="1:9" x14ac:dyDescent="0.2">
      <c r="A1860" s="1" t="s">
        <v>1860</v>
      </c>
      <c r="B1860" t="str">
        <f>HYPERLINK("https://www.suredividend.com/sure-analysis-research-database/","Vista Outdoor Inc")</f>
        <v>Vista Outdoor Inc</v>
      </c>
      <c r="C1860">
        <v>3.0272108843537E-2</v>
      </c>
      <c r="D1860">
        <v>0.16544824932666399</v>
      </c>
      <c r="E1860">
        <v>2.7824906684763999E-2</v>
      </c>
      <c r="F1860">
        <v>2.4349002367263999E-2</v>
      </c>
      <c r="G1860">
        <v>8.0627898679985002E-2</v>
      </c>
      <c r="H1860">
        <v>-0.14531602708803601</v>
      </c>
      <c r="I1860">
        <v>2.2569892473118278</v>
      </c>
    </row>
    <row r="1861" spans="1:9" x14ac:dyDescent="0.2">
      <c r="A1861" s="1" t="s">
        <v>1861</v>
      </c>
      <c r="B1861" t="str">
        <f>HYPERLINK("https://www.suredividend.com/sure-analysis-research-database/","Vital Energy Inc.")</f>
        <v>Vital Energy Inc.</v>
      </c>
      <c r="C1861">
        <v>0.105492378417614</v>
      </c>
      <c r="D1861">
        <v>-2.1208226221078999E-2</v>
      </c>
      <c r="E1861">
        <v>-0.19275618374558301</v>
      </c>
      <c r="F1861">
        <v>4.3965706748730002E-3</v>
      </c>
      <c r="G1861">
        <v>-7.1907373552711012E-2</v>
      </c>
      <c r="H1861">
        <v>-0.33628704241719898</v>
      </c>
      <c r="I1861">
        <v>-0.40196335078534001</v>
      </c>
    </row>
    <row r="1862" spans="1:9" x14ac:dyDescent="0.2">
      <c r="A1862" s="1" t="s">
        <v>1862</v>
      </c>
      <c r="B1862" t="str">
        <f>HYPERLINK("https://www.suredividend.com/sure-analysis-research-database/","Vertex Energy Inc")</f>
        <v>Vertex Energy Inc</v>
      </c>
      <c r="C1862">
        <v>-0.12972972972972899</v>
      </c>
      <c r="D1862">
        <v>-0.58072916666666607</v>
      </c>
      <c r="E1862">
        <v>-0.65075921908893708</v>
      </c>
      <c r="F1862">
        <v>-0.525073746312684</v>
      </c>
      <c r="G1862">
        <v>-0.80602409638554207</v>
      </c>
      <c r="H1862">
        <v>-0.67928286852589603</v>
      </c>
      <c r="I1862">
        <v>0.26771653543307</v>
      </c>
    </row>
    <row r="1863" spans="1:9" x14ac:dyDescent="0.2">
      <c r="A1863" s="1" t="s">
        <v>1863</v>
      </c>
      <c r="B1863" t="str">
        <f>HYPERLINK("https://www.suredividend.com/sure-analysis-research-database/","Bristow Group Inc.")</f>
        <v>Bristow Group Inc.</v>
      </c>
      <c r="C1863">
        <v>5.3550640279393998E-2</v>
      </c>
      <c r="D1863">
        <v>1.457399103139E-2</v>
      </c>
      <c r="E1863">
        <v>-5.4006968641113998E-2</v>
      </c>
      <c r="F1863">
        <v>-3.9617969579059012E-2</v>
      </c>
      <c r="G1863">
        <v>-3.4151547491994998E-2</v>
      </c>
      <c r="H1863">
        <v>-0.124758220502901</v>
      </c>
      <c r="I1863">
        <v>1.360869565217391</v>
      </c>
    </row>
    <row r="1864" spans="1:9" x14ac:dyDescent="0.2">
      <c r="A1864" s="1" t="s">
        <v>1864</v>
      </c>
      <c r="B1864" t="str">
        <f>HYPERLINK("https://www.suredividend.com/sure-analysis-research-database/","Vitesse Energy Inc")</f>
        <v>Vitesse Energy Inc</v>
      </c>
      <c r="C1864">
        <v>6.9417475728155001E-2</v>
      </c>
      <c r="D1864">
        <v>-4.6369885547071013E-2</v>
      </c>
      <c r="E1864">
        <v>-1.8305942747138999E-2</v>
      </c>
      <c r="F1864">
        <v>6.3956144358150004E-3</v>
      </c>
      <c r="G1864">
        <v>0.40080245696808597</v>
      </c>
      <c r="H1864">
        <v>-0.73562942517700702</v>
      </c>
      <c r="I1864">
        <v>-0.73562942517700702</v>
      </c>
    </row>
    <row r="1865" spans="1:9" x14ac:dyDescent="0.2">
      <c r="A1865" s="1" t="s">
        <v>1865</v>
      </c>
      <c r="B1865" t="str">
        <f>HYPERLINK("https://www.suredividend.com/sure-analysis-research-database/","Ventyx Biosciences Inc")</f>
        <v>Ventyx Biosciences Inc</v>
      </c>
      <c r="C1865">
        <v>0.51776649746192904</v>
      </c>
      <c r="D1865">
        <v>0.266949152542373</v>
      </c>
      <c r="E1865">
        <v>-0.90348612007746909</v>
      </c>
      <c r="F1865">
        <v>0.21052631578947301</v>
      </c>
      <c r="G1865">
        <v>-0.93253610108303209</v>
      </c>
      <c r="H1865">
        <v>-0.70970873786407707</v>
      </c>
      <c r="I1865">
        <v>-0.85775451950523307</v>
      </c>
    </row>
    <row r="1866" spans="1:9" x14ac:dyDescent="0.2">
      <c r="A1866" s="1" t="s">
        <v>1866</v>
      </c>
      <c r="B1866" t="str">
        <f>HYPERLINK("https://www.suredividend.com/sure-analysis-research-database/","Vuzix Corporation")</f>
        <v>Vuzix Corporation</v>
      </c>
      <c r="C1866">
        <v>-4.2168674698794997E-2</v>
      </c>
      <c r="D1866">
        <v>-0.313174946004319</v>
      </c>
      <c r="E1866">
        <v>-0.621428571428571</v>
      </c>
      <c r="F1866">
        <v>-0.23741007194244601</v>
      </c>
      <c r="G1866">
        <v>-0.6701244813278</v>
      </c>
      <c r="H1866">
        <v>-0.7190812720848051</v>
      </c>
      <c r="I1866">
        <v>-0.57372654155495906</v>
      </c>
    </row>
    <row r="1867" spans="1:9" x14ac:dyDescent="0.2">
      <c r="A1867" s="1" t="s">
        <v>1867</v>
      </c>
      <c r="B1867" t="str">
        <f>HYPERLINK("https://www.suredividend.com/sure-analysis-research-database/","Viad Corp.")</f>
        <v>Viad Corp.</v>
      </c>
      <c r="C1867">
        <v>-2.8042959427207002E-2</v>
      </c>
      <c r="D1867">
        <v>-1.4817054732385E-2</v>
      </c>
      <c r="E1867">
        <v>0.103284795123603</v>
      </c>
      <c r="F1867">
        <v>-0.1</v>
      </c>
      <c r="G1867">
        <v>0.22389181066867</v>
      </c>
      <c r="H1867">
        <v>-8.3028426681677009E-2</v>
      </c>
      <c r="I1867">
        <v>-0.42590510694235401</v>
      </c>
    </row>
    <row r="1868" spans="1:9" x14ac:dyDescent="0.2">
      <c r="A1868" s="1" t="s">
        <v>1868</v>
      </c>
      <c r="B1868" t="str">
        <f>HYPERLINK("https://www.suredividend.com/sure-analysis-research-database/","V2X Inc")</f>
        <v>V2X Inc</v>
      </c>
      <c r="C1868">
        <v>-7.7180344738870003E-3</v>
      </c>
      <c r="D1868">
        <v>-7.9474940334128011E-2</v>
      </c>
      <c r="E1868">
        <v>-0.23335321009739601</v>
      </c>
      <c r="F1868">
        <v>-0.16946597760551199</v>
      </c>
      <c r="G1868">
        <v>-0.154352115764086</v>
      </c>
      <c r="H1868">
        <v>-0.11190421367718099</v>
      </c>
      <c r="I1868">
        <v>0.36821567931890697</v>
      </c>
    </row>
    <row r="1869" spans="1:9" x14ac:dyDescent="0.2">
      <c r="A1869" s="1" t="s">
        <v>1869</v>
      </c>
      <c r="B1869" t="str">
        <f>HYPERLINK("https://www.suredividend.com/sure-analysis-research-database/","Voyager Therapeutics Inc")</f>
        <v>Voyager Therapeutics Inc</v>
      </c>
      <c r="C1869">
        <v>1.322751322751E-3</v>
      </c>
      <c r="D1869">
        <v>0.10672514619883</v>
      </c>
      <c r="E1869">
        <v>-0.186895810955961</v>
      </c>
      <c r="F1869">
        <v>-0.103080568720379</v>
      </c>
      <c r="G1869">
        <v>1.8842530282638E-2</v>
      </c>
      <c r="H1869">
        <v>1.219941348973606</v>
      </c>
      <c r="I1869">
        <v>-0.30486685032139499</v>
      </c>
    </row>
    <row r="1870" spans="1:9" x14ac:dyDescent="0.2">
      <c r="A1870" s="1" t="s">
        <v>1870</v>
      </c>
      <c r="B1870" t="str">
        <f>HYPERLINK("https://www.suredividend.com/sure-analysis-research-database/","VIZIO Holding Corp")</f>
        <v>VIZIO Holding Corp</v>
      </c>
      <c r="C1870">
        <v>0.56940509915014104</v>
      </c>
      <c r="D1870">
        <v>0.61988304093567204</v>
      </c>
      <c r="E1870">
        <v>0.78998384491114604</v>
      </c>
      <c r="F1870">
        <v>0.43896103896103911</v>
      </c>
      <c r="G1870">
        <v>0.116935483870967</v>
      </c>
      <c r="H1870">
        <v>-0.111467522052927</v>
      </c>
      <c r="I1870">
        <v>-0.41989528795811498</v>
      </c>
    </row>
    <row r="1871" spans="1:9" x14ac:dyDescent="0.2">
      <c r="A1871" s="1" t="s">
        <v>1871</v>
      </c>
      <c r="B1871" t="str">
        <f>HYPERLINK("https://www.suredividend.com/sure-analysis-WABC/","Westamerica Bancorporation")</f>
        <v>Westamerica Bancorporation</v>
      </c>
      <c r="C1871">
        <v>-5.0174370057468012E-2</v>
      </c>
      <c r="D1871">
        <v>-5.3218465605983013E-2</v>
      </c>
      <c r="E1871">
        <v>5.2395270683954012E-2</v>
      </c>
      <c r="F1871">
        <v>-0.161641816388538</v>
      </c>
      <c r="G1871">
        <v>-0.11002274322401499</v>
      </c>
      <c r="H1871">
        <v>-0.138417554672706</v>
      </c>
      <c r="I1871">
        <v>-0.129779322836683</v>
      </c>
    </row>
    <row r="1872" spans="1:9" x14ac:dyDescent="0.2">
      <c r="A1872" s="1" t="s">
        <v>1872</v>
      </c>
      <c r="B1872" t="str">
        <f>HYPERLINK("https://www.suredividend.com/sure-analysis-WAFD/","WaFd Inc")</f>
        <v>WaFd Inc</v>
      </c>
      <c r="C1872">
        <v>-4.3785786460087003E-2</v>
      </c>
      <c r="D1872">
        <v>5.1450327397705997E-2</v>
      </c>
      <c r="E1872">
        <v>2.6688847099666999E-2</v>
      </c>
      <c r="F1872">
        <v>-0.13865291262135901</v>
      </c>
      <c r="G1872">
        <v>-0.188068409311903</v>
      </c>
      <c r="H1872">
        <v>-0.147450007657634</v>
      </c>
      <c r="I1872">
        <v>9.8225199993810006E-2</v>
      </c>
    </row>
    <row r="1873" spans="1:9" x14ac:dyDescent="0.2">
      <c r="A1873" s="1" t="s">
        <v>1873</v>
      </c>
      <c r="B1873" t="str">
        <f>HYPERLINK("https://www.suredividend.com/sure-analysis-research-database/","Waldencast plc")</f>
        <v>Waldencast plc</v>
      </c>
      <c r="C1873">
        <v>-0.20521945432977401</v>
      </c>
      <c r="D1873">
        <v>-0.20803782505910101</v>
      </c>
      <c r="E1873">
        <v>8.4142394822006E-2</v>
      </c>
      <c r="F1873">
        <v>-0.38756855575868299</v>
      </c>
      <c r="G1873">
        <v>-0.217289719626168</v>
      </c>
      <c r="H1873">
        <v>-0.13099870298313801</v>
      </c>
      <c r="I1873">
        <v>-0.13099870298313801</v>
      </c>
    </row>
    <row r="1874" spans="1:9" x14ac:dyDescent="0.2">
      <c r="A1874" s="1" t="s">
        <v>1874</v>
      </c>
      <c r="B1874" t="str">
        <f>HYPERLINK("https://www.suredividend.com/sure-analysis-WASH/","Washington Trust Bancorp, Inc.")</f>
        <v>Washington Trust Bancorp, Inc.</v>
      </c>
      <c r="C1874">
        <v>-9.7972972972973013E-2</v>
      </c>
      <c r="D1874">
        <v>2.0092381399932999E-2</v>
      </c>
      <c r="E1874">
        <v>-5.8346706780800003E-3</v>
      </c>
      <c r="F1874">
        <v>-0.17541692402717701</v>
      </c>
      <c r="G1874">
        <v>-0.31161083065626399</v>
      </c>
      <c r="H1874">
        <v>-0.43088564425023901</v>
      </c>
      <c r="I1874">
        <v>-0.31606854683777702</v>
      </c>
    </row>
    <row r="1875" spans="1:9" x14ac:dyDescent="0.2">
      <c r="A1875" s="1" t="s">
        <v>1875</v>
      </c>
      <c r="B1875" t="str">
        <f>HYPERLINK("https://www.suredividend.com/sure-analysis-research-database/","Walker &amp; Dunlop Inc")</f>
        <v>Walker &amp; Dunlop Inc</v>
      </c>
      <c r="C1875">
        <v>-4.6863953136046001E-2</v>
      </c>
      <c r="D1875">
        <v>0.14624491526144201</v>
      </c>
      <c r="E1875">
        <v>0.11624462991351001</v>
      </c>
      <c r="F1875">
        <v>-0.14989640572921301</v>
      </c>
      <c r="G1875">
        <v>5.2676198050814013E-2</v>
      </c>
      <c r="H1875">
        <v>-0.27865689690228301</v>
      </c>
      <c r="I1875">
        <v>0.89761676868258711</v>
      </c>
    </row>
    <row r="1876" spans="1:9" x14ac:dyDescent="0.2">
      <c r="A1876" s="1" t="s">
        <v>1876</v>
      </c>
      <c r="B1876" t="str">
        <f>HYPERLINK("https://www.suredividend.com/sure-analysis-WDFC/","WD-40 Co.")</f>
        <v>WD-40 Co.</v>
      </c>
      <c r="C1876">
        <v>-3.2382070558819999E-3</v>
      </c>
      <c r="D1876">
        <v>0.17684988970665499</v>
      </c>
      <c r="E1876">
        <v>0.24029648731898301</v>
      </c>
      <c r="F1876">
        <v>0.104389063199606</v>
      </c>
      <c r="G1876">
        <v>0.53272994006640306</v>
      </c>
      <c r="H1876">
        <v>0.27453311592304303</v>
      </c>
      <c r="I1876">
        <v>0.5977590818743771</v>
      </c>
    </row>
    <row r="1877" spans="1:9" x14ac:dyDescent="0.2">
      <c r="A1877" s="1" t="s">
        <v>1877</v>
      </c>
      <c r="B1877" t="str">
        <f>HYPERLINK("https://www.suredividend.com/sure-analysis-research-database/","Weave Communications Inc")</f>
        <v>Weave Communications Inc</v>
      </c>
      <c r="C1877">
        <v>0.120361990950226</v>
      </c>
      <c r="D1877">
        <v>0.35894621295279899</v>
      </c>
      <c r="E1877">
        <v>0.177925784966698</v>
      </c>
      <c r="F1877">
        <v>7.9337401918047001E-2</v>
      </c>
      <c r="G1877">
        <v>1.4132553606237821</v>
      </c>
      <c r="H1877">
        <v>0.31283138918345699</v>
      </c>
      <c r="I1877">
        <v>-0.34113890367216498</v>
      </c>
    </row>
    <row r="1878" spans="1:9" x14ac:dyDescent="0.2">
      <c r="A1878" s="1" t="s">
        <v>1878</v>
      </c>
      <c r="B1878" t="str">
        <f>HYPERLINK("https://www.suredividend.com/sure-analysis-research-database/","Werner Enterprises, Inc.")</f>
        <v>Werner Enterprises, Inc.</v>
      </c>
      <c r="C1878">
        <v>-1.001753067868E-3</v>
      </c>
      <c r="D1878">
        <v>4.1269675533163998E-2</v>
      </c>
      <c r="E1878">
        <v>-7.0929815490248002E-2</v>
      </c>
      <c r="F1878">
        <v>-5.8531980174651013E-2</v>
      </c>
      <c r="G1878">
        <v>-0.13316151576129201</v>
      </c>
      <c r="H1878">
        <v>-4.5707477883092013E-2</v>
      </c>
      <c r="I1878">
        <v>0.36452575119041097</v>
      </c>
    </row>
    <row r="1879" spans="1:9" x14ac:dyDescent="0.2">
      <c r="A1879" s="1" t="s">
        <v>1879</v>
      </c>
      <c r="B1879" t="str">
        <f>HYPERLINK("https://www.suredividend.com/sure-analysis-research-database/","Westrock Coffee Company")</f>
        <v>Westrock Coffee Company</v>
      </c>
      <c r="C1879">
        <v>2.2637795275590001E-2</v>
      </c>
      <c r="D1879">
        <v>0.24729891956782701</v>
      </c>
      <c r="E1879">
        <v>-3.5283194057566997E-2</v>
      </c>
      <c r="F1879">
        <v>1.7629774730655998E-2</v>
      </c>
      <c r="G1879">
        <v>-0.113481228668941</v>
      </c>
      <c r="H1879">
        <v>-9.7306689834926005E-2</v>
      </c>
      <c r="I1879">
        <v>-9.7306689834926005E-2</v>
      </c>
    </row>
    <row r="1880" spans="1:9" x14ac:dyDescent="0.2">
      <c r="A1880" s="1" t="s">
        <v>1880</v>
      </c>
      <c r="B1880" t="str">
        <f>HYPERLINK("https://www.suredividend.com/sure-analysis-WEYS/","Weyco Group, Inc")</f>
        <v>Weyco Group, Inc</v>
      </c>
      <c r="C1880">
        <v>7.4859638178410006E-3</v>
      </c>
      <c r="D1880">
        <v>0.16375427850837601</v>
      </c>
      <c r="E1880">
        <v>0.29287915782732199</v>
      </c>
      <c r="F1880">
        <v>2.9974489795918002E-2</v>
      </c>
      <c r="G1880">
        <v>0.28073465794868302</v>
      </c>
      <c r="H1880">
        <v>0.46924368066011302</v>
      </c>
      <c r="I1880">
        <v>0.40581476323119697</v>
      </c>
    </row>
    <row r="1881" spans="1:9" x14ac:dyDescent="0.2">
      <c r="A1881" s="1" t="s">
        <v>1881</v>
      </c>
      <c r="B1881" t="str">
        <f>HYPERLINK("https://www.suredividend.com/sure-analysis-research-database/","Weatherford International plc")</f>
        <v>Weatherford International plc</v>
      </c>
      <c r="C1881">
        <v>5.5024677097553001E-2</v>
      </c>
      <c r="D1881">
        <v>5.8804932026556997E-2</v>
      </c>
      <c r="E1881">
        <v>0.17508771929824499</v>
      </c>
      <c r="F1881">
        <v>2.6985587243177001E-2</v>
      </c>
      <c r="G1881">
        <v>0.598059487832034</v>
      </c>
      <c r="H1881">
        <v>1.9663418954827281</v>
      </c>
      <c r="I1881">
        <v>6.8430913348946154</v>
      </c>
    </row>
    <row r="1882" spans="1:9" x14ac:dyDescent="0.2">
      <c r="A1882" s="1" t="s">
        <v>1882</v>
      </c>
      <c r="B1882" t="str">
        <f>HYPERLINK("https://www.suredividend.com/sure-analysis-WGO/","Winnebago Industries, Inc.")</f>
        <v>Winnebago Industries, Inc.</v>
      </c>
      <c r="C1882">
        <v>2.4415507546610999E-2</v>
      </c>
      <c r="D1882">
        <v>3.5029228400137002E-2</v>
      </c>
      <c r="E1882">
        <v>7.5073452223442999E-2</v>
      </c>
      <c r="F1882">
        <v>-4.5779957381938012E-2</v>
      </c>
      <c r="G1882">
        <v>7.9854314035922011E-2</v>
      </c>
      <c r="H1882">
        <v>0.13078048844228901</v>
      </c>
      <c r="I1882">
        <v>1.2436188278606699</v>
      </c>
    </row>
    <row r="1883" spans="1:9" x14ac:dyDescent="0.2">
      <c r="A1883" s="1" t="s">
        <v>1883</v>
      </c>
      <c r="B1883" t="str">
        <f>HYPERLINK("https://www.suredividend.com/sure-analysis-research-database/","Cactus Inc")</f>
        <v>Cactus Inc</v>
      </c>
      <c r="C1883">
        <v>0.18231469440832199</v>
      </c>
      <c r="D1883">
        <v>7.2465751162466008E-2</v>
      </c>
      <c r="E1883">
        <v>-0.101488690537367</v>
      </c>
      <c r="F1883">
        <v>1.321585903083E-3</v>
      </c>
      <c r="G1883">
        <v>-8.2975950812330002E-2</v>
      </c>
      <c r="H1883">
        <v>-2.9615304157753999E-2</v>
      </c>
      <c r="I1883">
        <v>0.281151627366931</v>
      </c>
    </row>
    <row r="1884" spans="1:9" x14ac:dyDescent="0.2">
      <c r="A1884" s="1" t="s">
        <v>1884</v>
      </c>
      <c r="B1884" t="str">
        <f>HYPERLINK("https://www.suredividend.com/sure-analysis-research-database/","Winmark Corporation")</f>
        <v>Winmark Corporation</v>
      </c>
      <c r="C1884">
        <v>0.12744672674757301</v>
      </c>
      <c r="D1884">
        <v>-8.8778204999173008E-2</v>
      </c>
      <c r="E1884">
        <v>0.120438297498234</v>
      </c>
      <c r="F1884">
        <v>-3.7559425017634013E-2</v>
      </c>
      <c r="G1884">
        <v>0.40289251490340999</v>
      </c>
      <c r="H1884">
        <v>0.88585350681665009</v>
      </c>
      <c r="I1884">
        <v>1.504540567198517</v>
      </c>
    </row>
    <row r="1885" spans="1:9" x14ac:dyDescent="0.2">
      <c r="A1885" s="1" t="s">
        <v>1885</v>
      </c>
      <c r="B1885" t="str">
        <f>HYPERLINK("https://www.suredividend.com/sure-analysis-research-database/","Encore Wire Corp.")</f>
        <v>Encore Wire Corp.</v>
      </c>
      <c r="C1885">
        <v>3.3915094339621997E-2</v>
      </c>
      <c r="D1885">
        <v>0.139868565910238</v>
      </c>
      <c r="E1885">
        <v>0.36691746672196102</v>
      </c>
      <c r="F1885">
        <v>2.6361653529075001E-2</v>
      </c>
      <c r="G1885">
        <v>9.8918728946248008E-2</v>
      </c>
      <c r="H1885">
        <v>0.95043602064424204</v>
      </c>
      <c r="I1885">
        <v>2.8075832034839578</v>
      </c>
    </row>
    <row r="1886" spans="1:9" x14ac:dyDescent="0.2">
      <c r="A1886" s="1" t="s">
        <v>1886</v>
      </c>
      <c r="B1886" t="str">
        <f>HYPERLINK("https://www.suredividend.com/sure-analysis-research-database/","ContextLogic Inc")</f>
        <v>ContextLogic Inc</v>
      </c>
      <c r="C1886">
        <v>0.54250559284116306</v>
      </c>
      <c r="D1886">
        <v>0.36264822134387298</v>
      </c>
      <c r="E1886">
        <v>0.31333333333333302</v>
      </c>
      <c r="F1886">
        <v>0.158823529411764</v>
      </c>
      <c r="G1886">
        <v>-0.69526208786351906</v>
      </c>
      <c r="H1886">
        <v>-0.89408602150537608</v>
      </c>
      <c r="I1886">
        <v>-0.98853699085619207</v>
      </c>
    </row>
    <row r="1887" spans="1:9" x14ac:dyDescent="0.2">
      <c r="A1887" s="1" t="s">
        <v>1887</v>
      </c>
      <c r="B1887" t="str">
        <f>HYPERLINK("https://www.suredividend.com/sure-analysis-research-database/","Workiva Inc")</f>
        <v>Workiva Inc</v>
      </c>
      <c r="C1887">
        <v>-2.5755068266446E-2</v>
      </c>
      <c r="D1887">
        <v>-4.7548605240910003E-3</v>
      </c>
      <c r="E1887">
        <v>-3.9465633285743013E-2</v>
      </c>
      <c r="F1887">
        <v>-7.2293903279818009E-2</v>
      </c>
      <c r="G1887">
        <v>6.7429737080689001E-2</v>
      </c>
      <c r="H1887">
        <v>-9.4326923076923003E-2</v>
      </c>
      <c r="I1887">
        <v>1.129068716094032</v>
      </c>
    </row>
    <row r="1888" spans="1:9" x14ac:dyDescent="0.2">
      <c r="A1888" s="1" t="s">
        <v>1888</v>
      </c>
      <c r="B1888" t="str">
        <f>HYPERLINK("https://www.suredividend.com/sure-analysis-research-database/","World Kinect Corp")</f>
        <v>World Kinect Corp</v>
      </c>
      <c r="C1888">
        <v>8.8395285584768002E-2</v>
      </c>
      <c r="D1888">
        <v>0.14143094841930101</v>
      </c>
      <c r="E1888">
        <v>9.8629572856848008E-2</v>
      </c>
      <c r="F1888">
        <v>5.3994732221245997E-2</v>
      </c>
      <c r="G1888">
        <v>-0.19573919305943999</v>
      </c>
      <c r="H1888">
        <v>-0.108339863261448</v>
      </c>
      <c r="I1888">
        <v>-1.9087150491068999E-2</v>
      </c>
    </row>
    <row r="1889" spans="1:9" x14ac:dyDescent="0.2">
      <c r="A1889" s="1" t="s">
        <v>1889</v>
      </c>
      <c r="B1889" t="str">
        <f>HYPERLINK("https://www.suredividend.com/sure-analysis-research-database/","Workhorse Group Inc")</f>
        <v>Workhorse Group Inc</v>
      </c>
      <c r="C1889">
        <v>0.27659574468085102</v>
      </c>
      <c r="D1889">
        <v>-5.2631578947368002E-2</v>
      </c>
      <c r="E1889">
        <v>-0.54389965792474304</v>
      </c>
      <c r="F1889">
        <v>0</v>
      </c>
      <c r="G1889">
        <v>-0.83018867924528306</v>
      </c>
      <c r="H1889">
        <v>-0.88571428571428512</v>
      </c>
      <c r="I1889">
        <v>-0.63636363636363602</v>
      </c>
    </row>
    <row r="1890" spans="1:9" x14ac:dyDescent="0.2">
      <c r="A1890" s="1" t="s">
        <v>1890</v>
      </c>
      <c r="B1890" t="str">
        <f>HYPERLINK("https://www.suredividend.com/sure-analysis-research-database/","Willdan Group Inc")</f>
        <v>Willdan Group Inc</v>
      </c>
      <c r="C1890">
        <v>0.113903743315507</v>
      </c>
      <c r="D1890">
        <v>3.0168150346191001E-2</v>
      </c>
      <c r="E1890">
        <v>-5.2751250568440003E-2</v>
      </c>
      <c r="F1890">
        <v>-3.1162790697674001E-2</v>
      </c>
      <c r="G1890">
        <v>6.1671763506625003E-2</v>
      </c>
      <c r="H1890">
        <v>-0.32501620220349903</v>
      </c>
      <c r="I1890">
        <v>-0.45356768100734501</v>
      </c>
    </row>
    <row r="1891" spans="1:9" x14ac:dyDescent="0.2">
      <c r="A1891" s="1" t="s">
        <v>1891</v>
      </c>
      <c r="B1891" t="str">
        <f>HYPERLINK("https://www.suredividend.com/sure-analysis-research-database/","Willis Lease Finance Corp.")</f>
        <v>Willis Lease Finance Corp.</v>
      </c>
      <c r="C1891">
        <v>2.2435897435896999E-2</v>
      </c>
      <c r="D1891">
        <v>9.9197973828610009E-3</v>
      </c>
      <c r="E1891">
        <v>8.3314466832691003E-2</v>
      </c>
      <c r="F1891">
        <v>-2.1072013093288999E-2</v>
      </c>
      <c r="G1891">
        <v>-0.17200207648381999</v>
      </c>
      <c r="H1891">
        <v>0.34788732394366101</v>
      </c>
      <c r="I1891">
        <v>0.116686114352392</v>
      </c>
    </row>
    <row r="1892" spans="1:9" x14ac:dyDescent="0.2">
      <c r="A1892" s="1" t="s">
        <v>1892</v>
      </c>
      <c r="B1892" t="str">
        <f>HYPERLINK("https://www.suredividend.com/sure-analysis-WLY/","John Wiley &amp; Sons Inc.")</f>
        <v>John Wiley &amp; Sons Inc.</v>
      </c>
      <c r="C1892">
        <v>1.6488549618320001E-2</v>
      </c>
      <c r="D1892">
        <v>9.9736050133957005E-2</v>
      </c>
      <c r="E1892">
        <v>-6.3095415668736998E-2</v>
      </c>
      <c r="F1892">
        <v>4.8834278512917002E-2</v>
      </c>
      <c r="G1892">
        <v>-0.23475310500824001</v>
      </c>
      <c r="H1892">
        <v>-0.33777600954843801</v>
      </c>
      <c r="I1892">
        <v>-0.292935729153391</v>
      </c>
    </row>
    <row r="1893" spans="1:9" x14ac:dyDescent="0.2">
      <c r="A1893" s="1" t="s">
        <v>1893</v>
      </c>
      <c r="B1893" t="str">
        <f>HYPERLINK("https://www.suredividend.com/sure-analysis-research-database/","Weis Markets, Inc.")</f>
        <v>Weis Markets, Inc.</v>
      </c>
      <c r="C1893">
        <v>3.40524754032E-2</v>
      </c>
      <c r="D1893">
        <v>1.9635655910075999E-2</v>
      </c>
      <c r="E1893">
        <v>-0.111531408270144</v>
      </c>
      <c r="F1893">
        <v>-2.8030212506366999E-2</v>
      </c>
      <c r="G1893">
        <v>-0.24490506348440499</v>
      </c>
      <c r="H1893">
        <v>3.6498773537928013E-2</v>
      </c>
      <c r="I1893">
        <v>0.330134584144675</v>
      </c>
    </row>
    <row r="1894" spans="1:9" x14ac:dyDescent="0.2">
      <c r="A1894" s="1" t="s">
        <v>1894</v>
      </c>
      <c r="B1894" t="str">
        <f>HYPERLINK("https://www.suredividend.com/sure-analysis-research-database/","Wabash National Corp.")</f>
        <v>Wabash National Corp.</v>
      </c>
      <c r="C1894">
        <v>3.3712428919577E-2</v>
      </c>
      <c r="D1894">
        <v>0.17652497515197699</v>
      </c>
      <c r="E1894">
        <v>0.16018800060174701</v>
      </c>
      <c r="F1894">
        <v>-3.488768202481E-3</v>
      </c>
      <c r="G1894">
        <v>-8.5236544530469013E-2</v>
      </c>
      <c r="H1894">
        <v>0.553657658097639</v>
      </c>
      <c r="I1894">
        <v>0.90508271577213806</v>
      </c>
    </row>
    <row r="1895" spans="1:9" x14ac:dyDescent="0.2">
      <c r="A1895" s="1" t="s">
        <v>1895</v>
      </c>
      <c r="B1895" t="str">
        <f>HYPERLINK("https://www.suredividend.com/sure-analysis-WOR/","Worthington Enterprises Inc.")</f>
        <v>Worthington Enterprises Inc.</v>
      </c>
      <c r="C1895">
        <v>0.132427536231883</v>
      </c>
      <c r="D1895">
        <v>0.42600340361074701</v>
      </c>
      <c r="E1895">
        <v>0.32067937555591702</v>
      </c>
      <c r="F1895">
        <v>8.6185925282363005E-2</v>
      </c>
      <c r="G1895">
        <v>0.574729756623513</v>
      </c>
      <c r="H1895">
        <v>0.72295462876956607</v>
      </c>
      <c r="I1895">
        <v>1.7069277604080959</v>
      </c>
    </row>
    <row r="1896" spans="1:9" x14ac:dyDescent="0.2">
      <c r="A1896" s="1" t="s">
        <v>1896</v>
      </c>
      <c r="B1896" t="str">
        <f>HYPERLINK("https://www.suredividend.com/sure-analysis-research-database/","WideOpenWest Inc")</f>
        <v>WideOpenWest Inc</v>
      </c>
      <c r="C1896">
        <v>0.22807017543859601</v>
      </c>
      <c r="D1896">
        <v>7.1942446043160007E-3</v>
      </c>
      <c r="E1896">
        <v>-0.44664031620553302</v>
      </c>
      <c r="F1896">
        <v>3.7037037037037E-2</v>
      </c>
      <c r="G1896">
        <v>-0.64970809007506203</v>
      </c>
      <c r="H1896">
        <v>-0.7796432318992651</v>
      </c>
      <c r="I1896">
        <v>-0.49152542372881303</v>
      </c>
    </row>
    <row r="1897" spans="1:9" x14ac:dyDescent="0.2">
      <c r="A1897" s="1" t="s">
        <v>1897</v>
      </c>
      <c r="B1897" t="str">
        <f>HYPERLINK("https://www.suredividend.com/sure-analysis-research-database/","Warby Parker Inc")</f>
        <v>Warby Parker Inc</v>
      </c>
      <c r="C1897">
        <v>6.7526555386949003E-2</v>
      </c>
      <c r="D1897">
        <v>0.28375912408759102</v>
      </c>
      <c r="E1897">
        <v>0.14483319772172401</v>
      </c>
      <c r="F1897">
        <v>-2.1276595744680001E-3</v>
      </c>
      <c r="G1897">
        <v>3.1524926686216002E-2</v>
      </c>
      <c r="H1897">
        <v>-0.49821683309557702</v>
      </c>
      <c r="I1897">
        <v>-0.74178748394200711</v>
      </c>
    </row>
    <row r="1898" spans="1:9" x14ac:dyDescent="0.2">
      <c r="A1898" s="1" t="s">
        <v>1898</v>
      </c>
      <c r="B1898" t="str">
        <f>HYPERLINK("https://www.suredividend.com/sure-analysis-research-database/","World Acceptance Corp.")</f>
        <v>World Acceptance Corp.</v>
      </c>
      <c r="C1898">
        <v>-0.114179575243569</v>
      </c>
      <c r="D1898">
        <v>0.123477642457107</v>
      </c>
      <c r="E1898">
        <v>-5.9042513587968012E-2</v>
      </c>
      <c r="F1898">
        <v>-3.1793457442733E-2</v>
      </c>
      <c r="G1898">
        <v>0.27015075376884401</v>
      </c>
      <c r="H1898">
        <v>-0.40124129435732198</v>
      </c>
      <c r="I1898">
        <v>5.0540315876974003E-2</v>
      </c>
    </row>
    <row r="1899" spans="1:9" x14ac:dyDescent="0.2">
      <c r="A1899" s="1" t="s">
        <v>1899</v>
      </c>
      <c r="B1899" t="str">
        <f>HYPERLINK("https://www.suredividend.com/sure-analysis-research-database/","Worthington Steel Inc.")</f>
        <v>Worthington Steel Inc.</v>
      </c>
      <c r="C1899">
        <v>0.108195542774981</v>
      </c>
      <c r="D1899">
        <v>0.23319999999999899</v>
      </c>
      <c r="E1899">
        <v>0.23319999999999899</v>
      </c>
      <c r="F1899">
        <v>9.7153024911031005E-2</v>
      </c>
      <c r="G1899">
        <v>0.23319999999999899</v>
      </c>
      <c r="H1899">
        <v>0.23319999999999899</v>
      </c>
      <c r="I1899">
        <v>0.23319999999999899</v>
      </c>
    </row>
    <row r="1900" spans="1:9" x14ac:dyDescent="0.2">
      <c r="A1900" s="1" t="s">
        <v>1900</v>
      </c>
      <c r="B1900" t="str">
        <f>HYPERLINK("https://www.suredividend.com/sure-analysis-WSBC/","Wesbanco, Inc.")</f>
        <v>Wesbanco, Inc.</v>
      </c>
      <c r="C1900">
        <v>-2.4340770791073999E-2</v>
      </c>
      <c r="D1900">
        <v>7.8044279753611001E-2</v>
      </c>
      <c r="E1900">
        <v>0.15912459183632399</v>
      </c>
      <c r="F1900">
        <v>-8.0012751036021013E-2</v>
      </c>
      <c r="G1900">
        <v>-0.16185541860762201</v>
      </c>
      <c r="H1900">
        <v>-9.1621578236688012E-2</v>
      </c>
      <c r="I1900">
        <v>-0.13422510747188299</v>
      </c>
    </row>
    <row r="1901" spans="1:9" x14ac:dyDescent="0.2">
      <c r="A1901" s="1" t="s">
        <v>1901</v>
      </c>
      <c r="B1901" t="str">
        <f>HYPERLINK("https://www.suredividend.com/sure-analysis-research-database/","Waterstone Financial Inc")</f>
        <v>Waterstone Financial Inc</v>
      </c>
      <c r="C1901">
        <v>-5.3994082840235998E-2</v>
      </c>
      <c r="D1901">
        <v>8.6411783193319006E-2</v>
      </c>
      <c r="E1901">
        <v>6.2592426432713011E-2</v>
      </c>
      <c r="F1901">
        <v>-7.9611119506631009E-2</v>
      </c>
      <c r="G1901">
        <v>-0.112729795352063</v>
      </c>
      <c r="H1901">
        <v>-0.23732401505077499</v>
      </c>
      <c r="I1901">
        <v>9.0273633961299005E-2</v>
      </c>
    </row>
    <row r="1902" spans="1:9" x14ac:dyDescent="0.2">
      <c r="A1902" s="1" t="s">
        <v>1902</v>
      </c>
      <c r="B1902" t="str">
        <f>HYPERLINK("https://www.suredividend.com/sure-analysis-research-database/","WSFS Financial Corp.")</f>
        <v>WSFS Financial Corp.</v>
      </c>
      <c r="C1902">
        <v>-4.7289649100741002E-2</v>
      </c>
      <c r="D1902">
        <v>7.7111756057801004E-2</v>
      </c>
      <c r="E1902">
        <v>3.9099740837451998E-2</v>
      </c>
      <c r="F1902">
        <v>-6.9691958822574007E-2</v>
      </c>
      <c r="G1902">
        <v>-0.13879910997060199</v>
      </c>
      <c r="H1902">
        <v>-0.15129956004425499</v>
      </c>
      <c r="I1902">
        <v>5.2106817860516998E-2</v>
      </c>
    </row>
    <row r="1903" spans="1:9" x14ac:dyDescent="0.2">
      <c r="A1903" s="1" t="s">
        <v>1903</v>
      </c>
      <c r="B1903" t="str">
        <f>HYPERLINK("https://www.suredividend.com/sure-analysis-WSR/","Whitestone REIT")</f>
        <v>Whitestone REIT</v>
      </c>
      <c r="C1903">
        <v>-2.2188495498271999E-2</v>
      </c>
      <c r="D1903">
        <v>0.13901089288509499</v>
      </c>
      <c r="E1903">
        <v>0.298592229442455</v>
      </c>
      <c r="F1903">
        <v>1.2962978127533E-2</v>
      </c>
      <c r="G1903">
        <v>0.279783150728865</v>
      </c>
      <c r="H1903">
        <v>0.12565063880901201</v>
      </c>
      <c r="I1903">
        <v>0.14183912714383301</v>
      </c>
    </row>
    <row r="1904" spans="1:9" x14ac:dyDescent="0.2">
      <c r="A1904" s="1" t="s">
        <v>1904</v>
      </c>
      <c r="B1904" t="str">
        <f>HYPERLINK("https://www.suredividend.com/sure-analysis-research-database/","WisdomTree Inc")</f>
        <v>WisdomTree Inc</v>
      </c>
      <c r="C1904">
        <v>-2.6360844634070002E-3</v>
      </c>
      <c r="D1904">
        <v>0.135677925453729</v>
      </c>
      <c r="E1904">
        <v>2.4224157177940998E-2</v>
      </c>
      <c r="F1904">
        <v>6.3567733615405006E-2</v>
      </c>
      <c r="G1904">
        <v>0.18814445505608801</v>
      </c>
      <c r="H1904">
        <v>0.32314237300356902</v>
      </c>
      <c r="I1904">
        <v>0.10717248661286601</v>
      </c>
    </row>
    <row r="1905" spans="1:9" x14ac:dyDescent="0.2">
      <c r="A1905" s="1" t="s">
        <v>1905</v>
      </c>
      <c r="B1905" t="str">
        <f>HYPERLINK("https://www.suredividend.com/sure-analysis-research-database/","West Bancorporation")</f>
        <v>West Bancorporation</v>
      </c>
      <c r="C1905">
        <v>-0.123334938212164</v>
      </c>
      <c r="D1905">
        <v>-2.7635619242578999E-2</v>
      </c>
      <c r="E1905">
        <v>-1.8947557471264E-2</v>
      </c>
      <c r="F1905">
        <v>-0.16386040104086899</v>
      </c>
      <c r="G1905">
        <v>-9.2763386670680001E-2</v>
      </c>
      <c r="H1905">
        <v>-0.31773917184151801</v>
      </c>
      <c r="I1905">
        <v>-3.8292253521126002E-2</v>
      </c>
    </row>
    <row r="1906" spans="1:9" x14ac:dyDescent="0.2">
      <c r="A1906" s="1" t="s">
        <v>1906</v>
      </c>
      <c r="B1906" t="str">
        <f>HYPERLINK("https://www.suredividend.com/sure-analysis-research-database/","W &amp; T Offshore Inc")</f>
        <v>W &amp; T Offshore Inc</v>
      </c>
      <c r="C1906">
        <v>0.17557251908396901</v>
      </c>
      <c r="D1906">
        <v>-0.146672577159638</v>
      </c>
      <c r="E1906">
        <v>-0.26799125392147499</v>
      </c>
      <c r="F1906">
        <v>-5.5214723926380008E-2</v>
      </c>
      <c r="G1906">
        <v>-0.44241283174626111</v>
      </c>
      <c r="H1906">
        <v>-0.271454253004068</v>
      </c>
      <c r="I1906">
        <v>-0.39666993143976398</v>
      </c>
    </row>
    <row r="1907" spans="1:9" x14ac:dyDescent="0.2">
      <c r="A1907" s="1" t="s">
        <v>1907</v>
      </c>
      <c r="B1907" t="str">
        <f>HYPERLINK("https://www.suredividend.com/sure-analysis-research-database/","Watts Water Technologies, Inc.")</f>
        <v>Watts Water Technologies, Inc.</v>
      </c>
      <c r="C1907">
        <v>-1.9898264512268001E-2</v>
      </c>
      <c r="D1907">
        <v>1.6150973365397E-2</v>
      </c>
      <c r="E1907">
        <v>7.9831011638966012E-2</v>
      </c>
      <c r="F1907">
        <v>-5.6686186042046012E-2</v>
      </c>
      <c r="G1907">
        <v>0.104176182762985</v>
      </c>
      <c r="H1907">
        <v>0.36229979329476503</v>
      </c>
      <c r="I1907">
        <v>1.5170080224587861</v>
      </c>
    </row>
    <row r="1908" spans="1:9" x14ac:dyDescent="0.2">
      <c r="A1908" s="1" t="s">
        <v>1908</v>
      </c>
      <c r="B1908" t="str">
        <f>HYPERLINK("https://www.suredividend.com/sure-analysis-research-database/","Select Water Solutions Inc")</f>
        <v>Select Water Solutions Inc</v>
      </c>
      <c r="C1908">
        <v>0.113048903256908</v>
      </c>
      <c r="D1908">
        <v>8.2609295269617009E-2</v>
      </c>
      <c r="E1908">
        <v>-4.9337563882092997E-2</v>
      </c>
      <c r="F1908">
        <v>4.2662841355860001E-2</v>
      </c>
      <c r="G1908">
        <v>-1.4685578009288E-2</v>
      </c>
      <c r="H1908">
        <v>9.2964649207078004E-2</v>
      </c>
      <c r="I1908">
        <v>-0.16832648217993801</v>
      </c>
    </row>
    <row r="1909" spans="1:9" x14ac:dyDescent="0.2">
      <c r="A1909" s="1" t="s">
        <v>1909</v>
      </c>
      <c r="B1909" t="str">
        <f>HYPERLINK("https://www.suredividend.com/sure-analysis-research-database/","TeraWulf Inc")</f>
        <v>TeraWulf Inc</v>
      </c>
      <c r="C1909">
        <v>0.71739130434782605</v>
      </c>
      <c r="D1909">
        <v>1.0789473684210531</v>
      </c>
      <c r="E1909">
        <v>0.20304568527918801</v>
      </c>
      <c r="F1909">
        <v>-1.2499999999999E-2</v>
      </c>
      <c r="G1909">
        <v>2.752969121140143</v>
      </c>
      <c r="H1909">
        <v>-0.79932260795935606</v>
      </c>
      <c r="I1909">
        <v>-0.70113116180531909</v>
      </c>
    </row>
    <row r="1910" spans="1:9" x14ac:dyDescent="0.2">
      <c r="A1910" s="1" t="s">
        <v>1910</v>
      </c>
      <c r="B1910" t="str">
        <f>HYPERLINK("https://www.suredividend.com/sure-analysis-research-database/","Wave Life Sciences Ltd.")</f>
        <v>Wave Life Sciences Ltd.</v>
      </c>
      <c r="C1910">
        <v>-0.121794871794871</v>
      </c>
      <c r="D1910">
        <v>-0.20961538461538401</v>
      </c>
      <c r="E1910">
        <v>-3.9719626168224012E-2</v>
      </c>
      <c r="F1910">
        <v>-0.186138613861386</v>
      </c>
      <c r="G1910">
        <v>-0.13473684210526299</v>
      </c>
      <c r="H1910">
        <v>0.37000000000000011</v>
      </c>
      <c r="I1910">
        <v>-0.88915857605177995</v>
      </c>
    </row>
    <row r="1911" spans="1:9" x14ac:dyDescent="0.2">
      <c r="A1911" s="1" t="s">
        <v>1911</v>
      </c>
      <c r="B1911" t="str">
        <f>HYPERLINK("https://www.suredividend.com/sure-analysis-research-database/","WW International Inc")</f>
        <v>WW International Inc</v>
      </c>
      <c r="C1911">
        <v>-0.157662624035281</v>
      </c>
      <c r="D1911">
        <v>-0.45968882602545902</v>
      </c>
      <c r="E1911">
        <v>-0.62804284323271609</v>
      </c>
      <c r="F1911">
        <v>-0.56342857142857106</v>
      </c>
      <c r="G1911">
        <v>-0.10117647058823501</v>
      </c>
      <c r="H1911">
        <v>-0.64232209737827706</v>
      </c>
      <c r="I1911">
        <v>-0.8746719160104981</v>
      </c>
    </row>
    <row r="1912" spans="1:9" x14ac:dyDescent="0.2">
      <c r="A1912" s="1" t="s">
        <v>1912</v>
      </c>
      <c r="B1912" t="str">
        <f>HYPERLINK("https://www.suredividend.com/sure-analysis-research-database/","Wolverine World Wide, Inc.")</f>
        <v>Wolverine World Wide, Inc.</v>
      </c>
      <c r="C1912">
        <v>0.110436893203883</v>
      </c>
      <c r="D1912">
        <v>8.2071901608325004E-2</v>
      </c>
      <c r="E1912">
        <v>0.12669465959044901</v>
      </c>
      <c r="F1912">
        <v>2.9246344206974001E-2</v>
      </c>
      <c r="G1912">
        <v>-0.39889238531326499</v>
      </c>
      <c r="H1912">
        <v>-0.62290122897107603</v>
      </c>
      <c r="I1912">
        <v>-0.71224152842204502</v>
      </c>
    </row>
    <row r="1913" spans="1:9" x14ac:dyDescent="0.2">
      <c r="A1913" s="1" t="s">
        <v>1913</v>
      </c>
      <c r="B1913" t="str">
        <f>HYPERLINK("https://www.suredividend.com/sure-analysis-research-database/","Beyond Air Inc")</f>
        <v>Beyond Air Inc</v>
      </c>
      <c r="C1913">
        <v>0.52490421455938707</v>
      </c>
      <c r="D1913">
        <v>0.25157232704402499</v>
      </c>
      <c r="E1913">
        <v>-0.25607476635513998</v>
      </c>
      <c r="F1913">
        <v>1.5306122448979E-2</v>
      </c>
      <c r="G1913">
        <v>-0.67323481116584505</v>
      </c>
      <c r="H1913">
        <v>-0.733601070950468</v>
      </c>
      <c r="I1913">
        <v>-0.65689655172413708</v>
      </c>
    </row>
    <row r="1914" spans="1:9" x14ac:dyDescent="0.2">
      <c r="A1914" s="1" t="s">
        <v>1914</v>
      </c>
      <c r="B1914" t="str">
        <f>HYPERLINK("https://www.suredividend.com/sure-analysis-research-database/","Xeris Biopharma Holdings Inc")</f>
        <v>Xeris Biopharma Holdings Inc</v>
      </c>
      <c r="C1914">
        <v>0.31120331950207403</v>
      </c>
      <c r="D1914">
        <v>0.73626373626373609</v>
      </c>
      <c r="E1914">
        <v>0.32217573221757301</v>
      </c>
      <c r="F1914">
        <v>0.34468085106382901</v>
      </c>
      <c r="G1914">
        <v>1.273381294964028</v>
      </c>
      <c r="H1914">
        <v>0.29508196721311403</v>
      </c>
      <c r="I1914">
        <v>0.338983050847457</v>
      </c>
    </row>
    <row r="1915" spans="1:9" x14ac:dyDescent="0.2">
      <c r="A1915" s="1" t="s">
        <v>1915</v>
      </c>
      <c r="B1915" t="str">
        <f>HYPERLINK("https://www.suredividend.com/sure-analysis-research-database/","X4 Pharmaceuticals Inc")</f>
        <v>X4 Pharmaceuticals Inc</v>
      </c>
      <c r="C1915">
        <v>0.18671812616449299</v>
      </c>
      <c r="D1915">
        <v>0.115601151007131</v>
      </c>
      <c r="E1915">
        <v>-0.231293103448275</v>
      </c>
      <c r="F1915">
        <v>6.3446630888491007E-2</v>
      </c>
      <c r="G1915">
        <v>-9.0009184610674003E-2</v>
      </c>
      <c r="H1915">
        <v>-0.42839743589743501</v>
      </c>
      <c r="I1915">
        <v>-0.65167968749999905</v>
      </c>
    </row>
    <row r="1916" spans="1:9" x14ac:dyDescent="0.2">
      <c r="A1916" s="1" t="s">
        <v>1916</v>
      </c>
      <c r="B1916" t="str">
        <f>HYPERLINK("https://www.suredividend.com/sure-analysis-research-database/","Xenia Hotels &amp; Resorts Inc")</f>
        <v>Xenia Hotels &amp; Resorts Inc</v>
      </c>
      <c r="C1916">
        <v>-3.787878787878E-3</v>
      </c>
      <c r="D1916">
        <v>4.8711241546510013E-2</v>
      </c>
      <c r="E1916">
        <v>0.18335208098987599</v>
      </c>
      <c r="F1916">
        <v>-3.4508076358296003E-2</v>
      </c>
      <c r="G1916">
        <v>-3.1428845006518012E-2</v>
      </c>
      <c r="H1916">
        <v>-0.26998789789823102</v>
      </c>
      <c r="I1916">
        <v>-0.22701622384199299</v>
      </c>
    </row>
    <row r="1917" spans="1:9" x14ac:dyDescent="0.2">
      <c r="A1917" s="1" t="s">
        <v>1917</v>
      </c>
      <c r="B1917" t="str">
        <f>HYPERLINK("https://www.suredividend.com/sure-analysis-research-database/","Xometry Inc")</f>
        <v>Xometry Inc</v>
      </c>
      <c r="C1917">
        <v>-5.7317073170731002E-2</v>
      </c>
      <c r="D1917">
        <v>0.56636271529888504</v>
      </c>
      <c r="E1917">
        <v>0.8029154518950431</v>
      </c>
      <c r="F1917">
        <v>-0.138958507379559</v>
      </c>
      <c r="G1917">
        <v>-0.105324074074074</v>
      </c>
      <c r="H1917">
        <v>-0.305324646146933</v>
      </c>
      <c r="I1917">
        <v>-0.64618377388717207</v>
      </c>
    </row>
    <row r="1918" spans="1:9" x14ac:dyDescent="0.2">
      <c r="A1918" s="1" t="s">
        <v>1918</v>
      </c>
      <c r="B1918" t="str">
        <f>HYPERLINK("https://www.suredividend.com/sure-analysis-research-database/","Xencor Inc")</f>
        <v>Xencor Inc</v>
      </c>
      <c r="C1918">
        <v>0.19653767820773901</v>
      </c>
      <c r="D1918">
        <v>0.18149824032176901</v>
      </c>
      <c r="E1918">
        <v>4.3516873889874998E-2</v>
      </c>
      <c r="F1918">
        <v>0.106924163918982</v>
      </c>
      <c r="G1918">
        <v>-0.33634566506636498</v>
      </c>
      <c r="H1918">
        <v>-0.265625</v>
      </c>
      <c r="I1918">
        <v>-0.30308422301304799</v>
      </c>
    </row>
    <row r="1919" spans="1:9" x14ac:dyDescent="0.2">
      <c r="A1919" s="1" t="s">
        <v>1919</v>
      </c>
      <c r="B1919" t="str">
        <f>HYPERLINK("https://www.suredividend.com/sure-analysis-research-database/","XOMA Corp")</f>
        <v>XOMA Corp</v>
      </c>
      <c r="C1919">
        <v>0.119597989949748</v>
      </c>
      <c r="D1919">
        <v>0.45907007203667299</v>
      </c>
      <c r="E1919">
        <v>0.41730279898218797</v>
      </c>
      <c r="F1919">
        <v>0.20432432432432401</v>
      </c>
      <c r="G1919">
        <v>4.3559718969555003E-2</v>
      </c>
      <c r="H1919">
        <v>0.10680576254346701</v>
      </c>
      <c r="I1919">
        <v>0.56680731364275605</v>
      </c>
    </row>
    <row r="1920" spans="1:9" x14ac:dyDescent="0.2">
      <c r="A1920" s="1" t="s">
        <v>1920</v>
      </c>
      <c r="B1920" t="str">
        <f>HYPERLINK("https://www.suredividend.com/sure-analysis-research-database/","XPEL Inc")</f>
        <v>XPEL Inc</v>
      </c>
      <c r="C1920">
        <v>4.5568159969236001E-2</v>
      </c>
      <c r="D1920">
        <v>0.16971391697139099</v>
      </c>
      <c r="E1920">
        <v>-0.35323501427212101</v>
      </c>
      <c r="F1920">
        <v>9.8421541318470009E-3</v>
      </c>
      <c r="G1920">
        <v>-0.32606270913372098</v>
      </c>
      <c r="H1920">
        <v>-0.17531088868668401</v>
      </c>
      <c r="I1920">
        <v>31.426952892069171</v>
      </c>
    </row>
    <row r="1921" spans="1:9" x14ac:dyDescent="0.2">
      <c r="A1921" s="1" t="s">
        <v>1921</v>
      </c>
      <c r="B1921" t="str">
        <f>HYPERLINK("https://www.suredividend.com/sure-analysis-research-database/","Xperi Inc")</f>
        <v>Xperi Inc</v>
      </c>
      <c r="C1921">
        <v>6.7632850241545001E-2</v>
      </c>
      <c r="D1921">
        <v>3.7558685446009002E-2</v>
      </c>
      <c r="E1921">
        <v>-7.9933388842631001E-2</v>
      </c>
      <c r="F1921">
        <v>2.7223230490009999E-3</v>
      </c>
      <c r="G1921">
        <v>7.699805068226101E-2</v>
      </c>
      <c r="H1921">
        <v>-0.51956521739130401</v>
      </c>
      <c r="I1921">
        <v>-0.51956521739130401</v>
      </c>
    </row>
    <row r="1922" spans="1:9" x14ac:dyDescent="0.2">
      <c r="A1922" s="1" t="s">
        <v>1922</v>
      </c>
      <c r="B1922" t="str">
        <f>HYPERLINK("https://www.suredividend.com/sure-analysis-research-database/","Xponential Fitness Inc")</f>
        <v>Xponential Fitness Inc</v>
      </c>
      <c r="C1922">
        <v>-0.17182130584192401</v>
      </c>
      <c r="D1922">
        <v>-0.32775453277545302</v>
      </c>
      <c r="E1922">
        <v>-0.55800091701054499</v>
      </c>
      <c r="F1922">
        <v>-0.25213343677269101</v>
      </c>
      <c r="G1922">
        <v>-0.63262195121951204</v>
      </c>
      <c r="H1922">
        <v>-0.51582119537920601</v>
      </c>
      <c r="I1922">
        <v>-0.213061224489795</v>
      </c>
    </row>
    <row r="1923" spans="1:9" x14ac:dyDescent="0.2">
      <c r="A1923" s="1" t="s">
        <v>1923</v>
      </c>
      <c r="B1923" t="str">
        <f>HYPERLINK("https://www.suredividend.com/sure-analysis-research-database/","Expro Group Holdings N.V.")</f>
        <v>Expro Group Holdings N.V.</v>
      </c>
      <c r="C1923">
        <v>0.124561403508771</v>
      </c>
      <c r="D1923">
        <v>0.204132748904195</v>
      </c>
      <c r="E1923">
        <v>-0.173969072164948</v>
      </c>
      <c r="F1923">
        <v>0.207914572864321</v>
      </c>
      <c r="G1923">
        <v>-7.4145402022147006E-2</v>
      </c>
      <c r="H1923">
        <v>0.29407806191116997</v>
      </c>
      <c r="I1923">
        <v>-0.52936857562408202</v>
      </c>
    </row>
    <row r="1924" spans="1:9" x14ac:dyDescent="0.2">
      <c r="A1924" s="1" t="s">
        <v>1924</v>
      </c>
      <c r="B1924" t="str">
        <f>HYPERLINK("https://www.suredividend.com/sure-analysis-XRX/","Xerox Holdings Corp")</f>
        <v>Xerox Holdings Corp</v>
      </c>
      <c r="C1924">
        <v>0.16904909881914201</v>
      </c>
      <c r="D1924">
        <v>0.41825255602135197</v>
      </c>
      <c r="E1924">
        <v>0.31452052496959998</v>
      </c>
      <c r="F1924">
        <v>2.6186579378067999E-2</v>
      </c>
      <c r="G1924">
        <v>0.252955870108243</v>
      </c>
      <c r="H1924">
        <v>2.5537575784009999E-2</v>
      </c>
      <c r="I1924">
        <v>-0.20844327176781</v>
      </c>
    </row>
    <row r="1925" spans="1:9" x14ac:dyDescent="0.2">
      <c r="A1925" s="1" t="s">
        <v>1925</v>
      </c>
      <c r="B1925" t="str">
        <f>HYPERLINK("https://www.suredividend.com/sure-analysis-research-database/","Yelp Inc")</f>
        <v>Yelp Inc</v>
      </c>
      <c r="C1925">
        <v>-0.15886363636363601</v>
      </c>
      <c r="D1925">
        <v>-0.20133793698748301</v>
      </c>
      <c r="E1925">
        <v>-9.8416565164433006E-2</v>
      </c>
      <c r="F1925">
        <v>-0.21820870299957701</v>
      </c>
      <c r="G1925">
        <v>0.202013640792465</v>
      </c>
      <c r="H1925">
        <v>5.1121840386252997E-2</v>
      </c>
      <c r="I1925">
        <v>-4.4903225806451001E-2</v>
      </c>
    </row>
    <row r="1926" spans="1:9" x14ac:dyDescent="0.2">
      <c r="A1926" s="1" t="s">
        <v>1926</v>
      </c>
      <c r="B1926" t="str">
        <f>HYPERLINK("https://www.suredividend.com/sure-analysis-research-database/","Yext Inc")</f>
        <v>Yext Inc</v>
      </c>
      <c r="C1926">
        <v>1.7123287671233001E-2</v>
      </c>
      <c r="D1926">
        <v>-0.15384615384615299</v>
      </c>
      <c r="E1926">
        <v>-0.301997649823736</v>
      </c>
      <c r="F1926">
        <v>8.4889643463490014E-3</v>
      </c>
      <c r="G1926">
        <v>-0.16923076923076899</v>
      </c>
      <c r="H1926">
        <v>-0.196211096075778</v>
      </c>
      <c r="I1926">
        <v>-0.68949294302143205</v>
      </c>
    </row>
    <row r="1927" spans="1:9" x14ac:dyDescent="0.2">
      <c r="A1927" s="1" t="s">
        <v>1927</v>
      </c>
      <c r="B1927" t="str">
        <f>HYPERLINK("https://www.suredividend.com/sure-analysis-research-database/","Y-Mabs Therapeutics Inc")</f>
        <v>Y-Mabs Therapeutics Inc</v>
      </c>
      <c r="C1927">
        <v>0.76439232409381608</v>
      </c>
      <c r="D1927">
        <v>2.1523809523809518</v>
      </c>
      <c r="E1927">
        <v>1.9396092362344579</v>
      </c>
      <c r="F1927">
        <v>1.4266862170087971</v>
      </c>
      <c r="G1927">
        <v>2.9879518072289151</v>
      </c>
      <c r="H1927">
        <v>1.12998712998713</v>
      </c>
      <c r="I1927">
        <v>-0.27602799650043702</v>
      </c>
    </row>
    <row r="1928" spans="1:9" x14ac:dyDescent="0.2">
      <c r="A1928" s="1" t="s">
        <v>1928</v>
      </c>
      <c r="B1928" t="str">
        <f>HYPERLINK("https://www.suredividend.com/sure-analysis-YORW/","York Water Co.")</f>
        <v>York Water Co.</v>
      </c>
      <c r="C1928">
        <v>2.1193530395984001E-2</v>
      </c>
      <c r="D1928">
        <v>-1.2440232677926001E-2</v>
      </c>
      <c r="E1928">
        <v>-0.111339760872255</v>
      </c>
      <c r="F1928">
        <v>-5.1786639047125001E-2</v>
      </c>
      <c r="G1928">
        <v>-0.17576172266250101</v>
      </c>
      <c r="H1928">
        <v>-0.112048689411023</v>
      </c>
      <c r="I1928">
        <v>0.14280364498814099</v>
      </c>
    </row>
    <row r="1929" spans="1:9" x14ac:dyDescent="0.2">
      <c r="A1929" s="1" t="s">
        <v>1929</v>
      </c>
      <c r="B1929" t="str">
        <f>HYPERLINK("https://www.suredividend.com/sure-analysis-research-database/","Clear Secure Inc")</f>
        <v>Clear Secure Inc</v>
      </c>
      <c r="C1929">
        <v>-9.0316106372303001E-2</v>
      </c>
      <c r="D1929">
        <v>-8.6189516129032001E-2</v>
      </c>
      <c r="E1929">
        <v>-0.20091676399938299</v>
      </c>
      <c r="F1929">
        <v>-0.122033898305084</v>
      </c>
      <c r="G1929">
        <v>-0.37233858404015902</v>
      </c>
      <c r="H1929">
        <v>-0.321075494307968</v>
      </c>
      <c r="I1929">
        <v>-0.5359539690908991</v>
      </c>
    </row>
    <row r="1930" spans="1:9" x14ac:dyDescent="0.2">
      <c r="A1930" s="1" t="s">
        <v>1930</v>
      </c>
      <c r="B1930" t="str">
        <f>HYPERLINK("https://www.suredividend.com/sure-analysis-research-database/","Ziff Davis Inc")</f>
        <v>Ziff Davis Inc</v>
      </c>
      <c r="C1930">
        <v>-2.3128243143068002E-2</v>
      </c>
      <c r="D1930">
        <v>-1.666666666666E-3</v>
      </c>
      <c r="E1930">
        <v>-7.2321832153080003E-3</v>
      </c>
      <c r="F1930">
        <v>-1.9348117279357001E-2</v>
      </c>
      <c r="G1930">
        <v>-0.20413093368764301</v>
      </c>
      <c r="H1930">
        <v>-0.38218471636193102</v>
      </c>
      <c r="I1930">
        <v>-0.111619861208299</v>
      </c>
    </row>
    <row r="1931" spans="1:9" x14ac:dyDescent="0.2">
      <c r="A1931" s="1" t="s">
        <v>1931</v>
      </c>
      <c r="B1931" t="str">
        <f>HYPERLINK("https://www.suredividend.com/sure-analysis-research-database/","Zeta Global Holdings Corp")</f>
        <v>Zeta Global Holdings Corp</v>
      </c>
      <c r="C1931">
        <v>4.7131147540983007E-2</v>
      </c>
      <c r="D1931">
        <v>0.191142191142191</v>
      </c>
      <c r="E1931">
        <v>0.33072916666666602</v>
      </c>
      <c r="F1931">
        <v>0.158730158730158</v>
      </c>
      <c r="G1931">
        <v>7.352941176470601E-2</v>
      </c>
      <c r="H1931">
        <v>-7.8449053201081004E-2</v>
      </c>
      <c r="I1931">
        <v>0.14960629921259799</v>
      </c>
    </row>
    <row r="1932" spans="1:9" x14ac:dyDescent="0.2">
      <c r="A1932" s="1" t="s">
        <v>1932</v>
      </c>
      <c r="B1932" t="str">
        <f>HYPERLINK("https://www.suredividend.com/sure-analysis-research-database/","Olympic Steel Inc.")</f>
        <v>Olympic Steel Inc.</v>
      </c>
      <c r="C1932">
        <v>8.3606301669006011E-2</v>
      </c>
      <c r="D1932">
        <v>0.30783060515639499</v>
      </c>
      <c r="E1932">
        <v>0.38004056488892302</v>
      </c>
      <c r="F1932">
        <v>4.1529235382308002E-2</v>
      </c>
      <c r="G1932">
        <v>0.43496590742435198</v>
      </c>
      <c r="H1932">
        <v>1.9057948584956961</v>
      </c>
      <c r="I1932">
        <v>2.730433615250369</v>
      </c>
    </row>
    <row r="1933" spans="1:9" x14ac:dyDescent="0.2">
      <c r="A1933" s="1" t="s">
        <v>1933</v>
      </c>
      <c r="B1933" t="str">
        <f>HYPERLINK("https://www.suredividend.com/sure-analysis-research-database/","ZimVie Inc")</f>
        <v>ZimVie Inc</v>
      </c>
      <c r="C1933">
        <v>8.9786756453423003E-2</v>
      </c>
      <c r="D1933">
        <v>1.148230088495575</v>
      </c>
      <c r="E1933">
        <v>0.65558397271952207</v>
      </c>
      <c r="F1933">
        <v>9.4084507042253004E-2</v>
      </c>
      <c r="G1933">
        <v>0.63056255247691007</v>
      </c>
      <c r="H1933">
        <v>-0.23932628280454299</v>
      </c>
      <c r="I1933">
        <v>-0.23932628280454299</v>
      </c>
    </row>
    <row r="1934" spans="1:9" x14ac:dyDescent="0.2">
      <c r="A1934" s="1" t="s">
        <v>1934</v>
      </c>
      <c r="B1934" t="str">
        <f>HYPERLINK("https://www.suredividend.com/sure-analysis-research-database/","ZipRecruiter Inc")</f>
        <v>ZipRecruiter Inc</v>
      </c>
      <c r="C1934">
        <v>-1.9323671497583999E-2</v>
      </c>
      <c r="D1934">
        <v>0.110156249999999</v>
      </c>
      <c r="E1934">
        <v>-0.12553846153846099</v>
      </c>
      <c r="F1934">
        <v>2.2302158273381001E-2</v>
      </c>
      <c r="G1934">
        <v>-0.40319193616127602</v>
      </c>
      <c r="H1934">
        <v>-0.28123419322205301</v>
      </c>
      <c r="I1934">
        <v>-0.326540284360189</v>
      </c>
    </row>
    <row r="1935" spans="1:9" x14ac:dyDescent="0.2">
      <c r="A1935" s="1" t="s">
        <v>1935</v>
      </c>
      <c r="B1935" t="str">
        <f>HYPERLINK("https://www.suredividend.com/sure-analysis-research-database/","Zentalis Pharmaceuticals Inc")</f>
        <v>Zentalis Pharmaceuticals Inc</v>
      </c>
      <c r="C1935">
        <v>7.2148952676493003E-2</v>
      </c>
      <c r="D1935">
        <v>0.277264325323475</v>
      </c>
      <c r="E1935">
        <v>-0.46246596654998001</v>
      </c>
      <c r="F1935">
        <v>-8.7788778877887011E-2</v>
      </c>
      <c r="G1935">
        <v>-0.30096105209913998</v>
      </c>
      <c r="H1935">
        <v>-0.71002937473772509</v>
      </c>
      <c r="I1935">
        <v>-0.40431034482758599</v>
      </c>
    </row>
    <row r="1936" spans="1:9" x14ac:dyDescent="0.2">
      <c r="A1936" s="1" t="s">
        <v>1936</v>
      </c>
      <c r="B1936" t="str">
        <f>HYPERLINK("https://www.suredividend.com/sure-analysis-research-database/","Zumiez Inc")</f>
        <v>Zumiez Inc</v>
      </c>
      <c r="C1936">
        <v>3.1034482758619999E-2</v>
      </c>
      <c r="D1936">
        <v>-2.6058631921824001E-2</v>
      </c>
      <c r="E1936">
        <v>-5.4794520547945001E-2</v>
      </c>
      <c r="F1936">
        <v>-0.117994100294985</v>
      </c>
      <c r="G1936">
        <v>-0.291189253259581</v>
      </c>
      <c r="H1936">
        <v>-0.592087312414733</v>
      </c>
      <c r="I1936">
        <v>-0.304381543233811</v>
      </c>
    </row>
    <row r="1937" spans="1:9" x14ac:dyDescent="0.2">
      <c r="A1937" s="1" t="s">
        <v>1937</v>
      </c>
      <c r="B1937" t="str">
        <f>HYPERLINK("https://www.suredividend.com/sure-analysis-research-database/","Zuora Inc")</f>
        <v>Zuora Inc</v>
      </c>
      <c r="C1937">
        <v>-5.1341890315052013E-2</v>
      </c>
      <c r="D1937">
        <v>-2.4009603841536001E-2</v>
      </c>
      <c r="E1937">
        <v>-0.186999999999999</v>
      </c>
      <c r="F1937">
        <v>-0.13510638297872299</v>
      </c>
      <c r="G1937">
        <v>-8.6516853932584001E-2</v>
      </c>
      <c r="H1937">
        <v>-0.44391244870041002</v>
      </c>
      <c r="I1937">
        <v>-0.64926660914581502</v>
      </c>
    </row>
    <row r="1938" spans="1:9" x14ac:dyDescent="0.2">
      <c r="A1938" s="1" t="s">
        <v>1938</v>
      </c>
      <c r="B1938" t="str">
        <f>HYPERLINK("https://www.suredividend.com/sure-analysis-research-database/","Zura Bio Ltd")</f>
        <v>Zura Bio Ltd</v>
      </c>
      <c r="C1938">
        <v>-0.12093023255813901</v>
      </c>
      <c r="D1938">
        <v>-0.15436241610738199</v>
      </c>
      <c r="E1938">
        <v>-0.44082840236686399</v>
      </c>
      <c r="F1938">
        <v>-0.190578158458244</v>
      </c>
      <c r="G1938">
        <v>-0.638277511961722</v>
      </c>
      <c r="H1938">
        <v>-0.61624365482233501</v>
      </c>
      <c r="I1938">
        <v>-0.61030927835051507</v>
      </c>
    </row>
    <row r="1939" spans="1:9" x14ac:dyDescent="0.2">
      <c r="A1939" s="1" t="s">
        <v>1939</v>
      </c>
      <c r="B1939" t="str">
        <f>HYPERLINK("https://www.suredividend.com/sure-analysis-research-database/","Zevia PBC")</f>
        <v>Zevia PBC</v>
      </c>
      <c r="C1939">
        <v>-0.101190476190476</v>
      </c>
      <c r="D1939">
        <v>-0.27403846153846101</v>
      </c>
      <c r="E1939">
        <v>-0.39112903225806411</v>
      </c>
      <c r="F1939">
        <v>-0.248756218905472</v>
      </c>
      <c r="G1939">
        <v>-0.66219239373601702</v>
      </c>
      <c r="H1939">
        <v>-0.84105263157894705</v>
      </c>
      <c r="I1939">
        <v>-0.8893772893772891</v>
      </c>
    </row>
    <row r="1940" spans="1:9" x14ac:dyDescent="0.2">
      <c r="A1940" s="1" t="s">
        <v>1940</v>
      </c>
      <c r="B1940" t="str">
        <f>HYPERLINK("https://www.suredividend.com/sure-analysis-research-database/","Zevra Therapeutics Inc")</f>
        <v>Zevra Therapeutics Inc</v>
      </c>
      <c r="C1940">
        <v>0.204545454545454</v>
      </c>
      <c r="D1940">
        <v>0.53794642857142805</v>
      </c>
      <c r="E1940">
        <v>0.38353413654618401</v>
      </c>
      <c r="F1940">
        <v>5.1908396946564003E-2</v>
      </c>
      <c r="G1940">
        <v>0.25272727272727202</v>
      </c>
      <c r="H1940">
        <v>0.210896309314586</v>
      </c>
      <c r="I1940">
        <v>2.2347417840375581</v>
      </c>
    </row>
    <row r="1941" spans="1:9" x14ac:dyDescent="0.2">
      <c r="A1941" s="1" t="s">
        <v>1941</v>
      </c>
      <c r="B1941" t="str">
        <f>HYPERLINK("https://www.suredividend.com/sure-analysis-research-database/","Zurn Elkay Water Solutions Corp")</f>
        <v>Zurn Elkay Water Solutions Corp</v>
      </c>
      <c r="C1941">
        <v>8.7865528022513004E-2</v>
      </c>
      <c r="D1941">
        <v>6.6453489360978002E-2</v>
      </c>
      <c r="E1941">
        <v>9.6119352887496012E-2</v>
      </c>
      <c r="F1941">
        <v>6.8630993366647006E-2</v>
      </c>
      <c r="G1941">
        <v>0.35660843563790801</v>
      </c>
      <c r="H1941">
        <v>-4.1527685633310003E-2</v>
      </c>
      <c r="I1941">
        <v>0.13667677046018101</v>
      </c>
    </row>
    <row r="1942" spans="1:9" x14ac:dyDescent="0.2">
      <c r="A1942" s="1" t="s">
        <v>1942</v>
      </c>
      <c r="B1942" t="str">
        <f>HYPERLINK("https://www.suredividend.com/sure-analysis-research-database/","Zymeworks BC Inc")</f>
        <v>Zymeworks BC Inc</v>
      </c>
      <c r="C1942">
        <v>0.218623481781376</v>
      </c>
      <c r="D1942">
        <v>0.44019138755980802</v>
      </c>
      <c r="E1942">
        <v>0.62264150943396201</v>
      </c>
      <c r="F1942">
        <v>0.15880654475457101</v>
      </c>
      <c r="G1942">
        <v>0.39675174013921111</v>
      </c>
      <c r="H1942">
        <v>0.67688022284122507</v>
      </c>
      <c r="I1942">
        <v>-0.20053120849933601</v>
      </c>
    </row>
    <row r="1943" spans="1:9" x14ac:dyDescent="0.2">
      <c r="A1943" s="1" t="s">
        <v>1943</v>
      </c>
      <c r="B1943" t="str">
        <f>HYPERLINK("https://www.suredividend.com/sure-analysis-research-database/","Zynex Inc")</f>
        <v>Zynex Inc</v>
      </c>
      <c r="C1943">
        <v>0.231898238747553</v>
      </c>
      <c r="D1943">
        <v>0.40044493882091198</v>
      </c>
      <c r="E1943">
        <v>0.63932291666666607</v>
      </c>
      <c r="F1943">
        <v>0.156106519742883</v>
      </c>
      <c r="G1943">
        <v>-3.5249042145592997E-2</v>
      </c>
      <c r="H1943">
        <v>0.85967503692762204</v>
      </c>
      <c r="I1943">
        <v>1.6798067303803661</v>
      </c>
    </row>
  </sheetData>
  <autoFilter ref="A1:I1943" xr:uid="{00000000-0009-0000-0000-000001000000}"/>
  <conditionalFormatting sqref="A1:I1">
    <cfRule type="cellIs" dxfId="9" priority="10" operator="notEqual">
      <formula>-13.345</formula>
    </cfRule>
  </conditionalFormatting>
  <conditionalFormatting sqref="A2:A1943">
    <cfRule type="cellIs" dxfId="8" priority="1" operator="notEqual">
      <formula>"None"</formula>
    </cfRule>
  </conditionalFormatting>
  <conditionalFormatting sqref="B2:B1943">
    <cfRule type="cellIs" dxfId="7" priority="2" operator="notEqual">
      <formula>"None"</formula>
    </cfRule>
  </conditionalFormatting>
  <conditionalFormatting sqref="C2:C1943">
    <cfRule type="cellIs" dxfId="6" priority="3" operator="notEqual">
      <formula>"None"</formula>
    </cfRule>
  </conditionalFormatting>
  <conditionalFormatting sqref="D2:D1943">
    <cfRule type="cellIs" dxfId="5" priority="4" operator="notEqual">
      <formula>"None"</formula>
    </cfRule>
  </conditionalFormatting>
  <conditionalFormatting sqref="E2:E1943">
    <cfRule type="cellIs" dxfId="4" priority="5" operator="notEqual">
      <formula>"None"</formula>
    </cfRule>
  </conditionalFormatting>
  <conditionalFormatting sqref="F2:F1943">
    <cfRule type="cellIs" dxfId="3" priority="6" operator="notEqual">
      <formula>"None"</formula>
    </cfRule>
  </conditionalFormatting>
  <conditionalFormatting sqref="G2:G1943">
    <cfRule type="cellIs" dxfId="2" priority="7" operator="notEqual">
      <formula>"None"</formula>
    </cfRule>
  </conditionalFormatting>
  <conditionalFormatting sqref="H2:H1943">
    <cfRule type="cellIs" dxfId="1" priority="8" operator="notEqual">
      <formula>"None"</formula>
    </cfRule>
  </conditionalFormatting>
  <conditionalFormatting sqref="I2:I1943">
    <cfRule type="cellIs" dxfId="0" priority="9" operator="notEqual">
      <formula>"None"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cols>
    <col min="1" max="1" width="25.6640625" customWidth="1"/>
    <col min="2" max="2" width="0" hidden="1" customWidth="1"/>
  </cols>
  <sheetData>
    <row r="1" spans="1:2" x14ac:dyDescent="0.2">
      <c r="A1" s="1" t="s">
        <v>1951</v>
      </c>
      <c r="B1" s="1"/>
    </row>
    <row r="2" spans="1:2" x14ac:dyDescent="0.2">
      <c r="A2" s="1" t="s">
        <v>1952</v>
      </c>
    </row>
    <row r="3" spans="1:2" x14ac:dyDescent="0.2">
      <c r="A3" s="1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Characteristics</vt:lpstr>
      <vt:lpstr>Performance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ASIM.TURK@baruchmail.cuny.edu</cp:lastModifiedBy>
  <dcterms:created xsi:type="dcterms:W3CDTF">2024-02-21T12:50:40Z</dcterms:created>
  <dcterms:modified xsi:type="dcterms:W3CDTF">2024-02-22T19:52:20Z</dcterms:modified>
</cp:coreProperties>
</file>
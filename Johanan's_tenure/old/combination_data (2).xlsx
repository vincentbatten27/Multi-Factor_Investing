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ohananantonpraneshimmanuel/Downloads/College/Project/Multi_Factor_Spring_24/"/>
    </mc:Choice>
  </mc:AlternateContent>
  <xr:revisionPtr revIDLastSave="0" documentId="13_ncr:1_{BC7CFB9A-A472-3949-8B71-DC04AF9E13BD}" xr6:coauthVersionLast="47" xr6:coauthVersionMax="47" xr10:uidLastSave="{00000000-0000-0000-0000-000000000000}"/>
  <bookViews>
    <workbookView xWindow="0" yWindow="760" windowWidth="29400" windowHeight="18380" activeTab="1" xr2:uid="{00000000-000D-0000-FFFF-FFFF00000000}"/>
  </bookViews>
  <sheets>
    <sheet name="Sheet" sheetId="1" r:id="rId1"/>
    <sheet name="downside_protec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11" i="2" l="1"/>
  <c r="AP12" i="2"/>
  <c r="AP13" i="2"/>
  <c r="AP14" i="2"/>
  <c r="AP15" i="2"/>
  <c r="AP16" i="2"/>
  <c r="AP17" i="2"/>
  <c r="AP18" i="2"/>
  <c r="AP19" i="2"/>
  <c r="AP10" i="2"/>
  <c r="I8" i="2"/>
  <c r="I3" i="2"/>
  <c r="I4" i="2"/>
  <c r="I5" i="2"/>
  <c r="I6" i="2"/>
  <c r="I7" i="2"/>
  <c r="I9" i="2"/>
  <c r="I10" i="2"/>
  <c r="I11" i="2"/>
  <c r="I2" i="2"/>
  <c r="E14" i="2"/>
  <c r="F14" i="2"/>
  <c r="G14" i="2"/>
  <c r="H14" i="2"/>
  <c r="K2" i="2"/>
  <c r="L4" i="2" s="1"/>
  <c r="L7" i="2" l="1"/>
  <c r="L8" i="2"/>
  <c r="L5" i="2"/>
  <c r="L2" i="2"/>
  <c r="L11" i="2"/>
  <c r="L3" i="2"/>
  <c r="L10" i="2"/>
  <c r="L9" i="2"/>
  <c r="L6" i="2"/>
</calcChain>
</file>

<file path=xl/sharedStrings.xml><?xml version="1.0" encoding="utf-8"?>
<sst xmlns="http://schemas.openxmlformats.org/spreadsheetml/2006/main" count="71" uniqueCount="26">
  <si>
    <t>Year 1</t>
  </si>
  <si>
    <t>Year 2</t>
  </si>
  <si>
    <t>Year 3</t>
  </si>
  <si>
    <t>Year 4</t>
  </si>
  <si>
    <t>Year 5</t>
  </si>
  <si>
    <t>SP500</t>
  </si>
  <si>
    <t>Sharpe</t>
  </si>
  <si>
    <t>Percentile</t>
  </si>
  <si>
    <t>99th</t>
  </si>
  <si>
    <t>Median</t>
  </si>
  <si>
    <t>1st</t>
  </si>
  <si>
    <t>SP 500</t>
  </si>
  <si>
    <t>Year 1 in %</t>
  </si>
  <si>
    <t>Year 1 in %2</t>
  </si>
  <si>
    <t>Year 1 in %3</t>
  </si>
  <si>
    <t>Year 1 in %4</t>
  </si>
  <si>
    <t>Year 1 in %5</t>
  </si>
  <si>
    <t>Year 2 in %</t>
  </si>
  <si>
    <t>Year 3 in %</t>
  </si>
  <si>
    <t>Year 4 in %</t>
  </si>
  <si>
    <t>Year 5 in %</t>
  </si>
  <si>
    <t>Market Beta</t>
  </si>
  <si>
    <t>Size beta</t>
  </si>
  <si>
    <t>Value beta</t>
  </si>
  <si>
    <t>{1: 0.8883254000964392, 2: 1.4064823395241752, 3: 1.1373022341373276, 4: 1.3892320606095059, 5: 1.9206664998051932}</t>
  </si>
  <si>
    <t>Sharpe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</si>
</sst>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4"/>
      <color rgb="FF000000"/>
      <name val="Courier New"/>
      <family val="1"/>
    </font>
    <font>
      <sz val="8"/>
      <name val="Calibri"/>
      <family val="2"/>
      <scheme val="minor"/>
    </font>
    <font>
      <sz val="12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3" fillId="0" borderId="0" xfId="0" applyFont="1"/>
    <xf numFmtId="0" fontId="0" fillId="0" borderId="0" xfId="1" applyNumberFormat="1" applyFont="1" applyBorder="1"/>
    <xf numFmtId="0" fontId="5" fillId="0" borderId="0" xfId="0" applyFont="1"/>
    <xf numFmtId="2" fontId="3" fillId="0" borderId="0" xfId="0" applyNumberFormat="1" applyFont="1"/>
    <xf numFmtId="10" fontId="0" fillId="0" borderId="0" xfId="0" applyNumberFormat="1"/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0" xfId="0" applyBorder="1"/>
    <xf numFmtId="10" fontId="0" fillId="0" borderId="0" xfId="0" applyNumberFormat="1" applyBorder="1"/>
    <xf numFmtId="2" fontId="3" fillId="0" borderId="0" xfId="0" applyNumberFormat="1" applyFont="1" applyBorder="1"/>
    <xf numFmtId="0" fontId="1" fillId="0" borderId="5" xfId="0" applyFont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ourier New"/>
        <family val="1"/>
        <scheme val="none"/>
      </font>
      <numFmt numFmtId="2" formatCode="0.00"/>
    </dxf>
    <dxf>
      <numFmt numFmtId="14" formatCode="0.00%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1" defaultTableStyle="TableStyleMedium9" defaultPivotStyle="PivotStyleLight16">
    <tableStyle name="PivotTable Style 1" table="0" count="0" xr9:uid="{D98079D7-B921-8244-A89E-A9C1A5FE6EB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1F2514-78E8-7D4B-B0AB-518D83BE5B88}" name="Table3" displayName="Table3" ref="O25:T29" totalsRowShown="0" tableBorderDxfId="42">
  <tableColumns count="6">
    <tableColumn id="1" xr3:uid="{E769D8BF-05C2-AE4E-80B7-0334D86E70CC}" name="Percentile"/>
    <tableColumn id="2" xr3:uid="{123DC95E-62A2-B347-A97D-4C3FC264DB09}" name="Year 1" dataDxfId="41" dataCellStyle="Percent"/>
    <tableColumn id="3" xr3:uid="{67831B05-582E-904C-A79F-B2CC1A024536}" name="Year 2" dataDxfId="40" dataCellStyle="Percent"/>
    <tableColumn id="4" xr3:uid="{D81EFDC9-FC0F-CA48-93FA-FDB15996C246}" name="Year 3" dataDxfId="39" dataCellStyle="Percent"/>
    <tableColumn id="5" xr3:uid="{4D7F962F-6A59-A146-9D73-8F74C9046058}" name="Year 4" dataDxfId="38" dataCellStyle="Percent"/>
    <tableColumn id="6" xr3:uid="{E6F24B2C-BE73-F94D-B158-EF06A20F1F39}" name="Year 5" dataDxfId="37" dataCellStyle="Percent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E45F3B-C9ED-DD43-80EE-10551C0E7BA1}" name="Table35" displayName="Table35" ref="O32:T36" totalsRowShown="0" headerRowDxfId="36" dataDxfId="35" tableBorderDxfId="34">
  <tableColumns count="6">
    <tableColumn id="1" xr3:uid="{26982E4B-44A5-E844-81AA-DE7203EA1124}" name="Percentile" dataDxfId="33"/>
    <tableColumn id="2" xr3:uid="{B103C610-24B0-EB47-8CB9-CDCF4026CCE3}" name="Year 1 in %" dataDxfId="32" dataCellStyle="Percent"/>
    <tableColumn id="3" xr3:uid="{7A0331C0-F104-8244-8FE1-480C847908EB}" name="Year 1 in %2" dataDxfId="31" dataCellStyle="Percent"/>
    <tableColumn id="4" xr3:uid="{505A2322-B938-8D43-89FA-6FDB18AFF884}" name="Year 1 in %3" dataDxfId="30" dataCellStyle="Percent"/>
    <tableColumn id="5" xr3:uid="{E5029B72-0114-4943-B8EB-5542D7C25C1E}" name="Year 1 in %4" dataDxfId="29" dataCellStyle="Percent"/>
    <tableColumn id="6" xr3:uid="{DC9B7CCC-CE2D-E549-985F-95E672A61ABF}" name="Year 1 in %5" dataDxfId="28" dataCellStyle="Percent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FFDF7AC-5BF8-F148-BAF3-02E94CEB5BFE}" name="Table356" displayName="Table356" ref="X26:AC30" totalsRowShown="0" headerRowDxfId="27" dataDxfId="26" tableBorderDxfId="25">
  <tableColumns count="6">
    <tableColumn id="1" xr3:uid="{D88C6D27-984B-1A41-B13B-22A570F12F67}" name="Percentile" dataDxfId="24"/>
    <tableColumn id="2" xr3:uid="{6C4046DC-DCF4-824A-B698-8BDB4A2F82F3}" name="Year 1 in %" dataDxfId="23" dataCellStyle="Percent"/>
    <tableColumn id="3" xr3:uid="{E06D577A-2DA1-AB4E-AAD8-4FA935D068A9}" name="Year 2 in %" dataDxfId="22" dataCellStyle="Percent"/>
    <tableColumn id="4" xr3:uid="{05EF776A-68DE-1343-ADF5-A08DE8121988}" name="Year 3 in %" dataDxfId="21" dataCellStyle="Percent"/>
    <tableColumn id="5" xr3:uid="{B5FD8619-A015-6C4D-809C-EC9D9098BC68}" name="Year 4 in %" dataDxfId="20" dataCellStyle="Percent"/>
    <tableColumn id="6" xr3:uid="{336711DA-D6DF-714E-9DE5-AB2F71BE5B63}" name="Year 5 in %" dataDxfId="19" dataCellStyle="Percent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2DE9AC7-2EFE-5D4C-85ED-058046ED822B}" name="Table38" displayName="Table38" ref="O16:T20" totalsRowShown="0" tableBorderDxfId="18">
  <tableColumns count="6">
    <tableColumn id="1" xr3:uid="{F43708D0-0582-5F49-A6CD-FEC675CFF4DD}" name="Percentile"/>
    <tableColumn id="2" xr3:uid="{D69CD13B-90EB-E74F-8689-85BCA170FD67}" name="Year 1" dataDxfId="17" dataCellStyle="Percent"/>
    <tableColumn id="3" xr3:uid="{A53D8A96-C51B-0441-8154-CFEDC09E5BB3}" name="Year 2" dataDxfId="16" dataCellStyle="Percent"/>
    <tableColumn id="4" xr3:uid="{0495BCF8-3F48-094F-ABBC-0F16582DCFA7}" name="Year 3" dataDxfId="15" dataCellStyle="Percent"/>
    <tableColumn id="5" xr3:uid="{86238E9F-D77E-1C48-B139-3FF93608435E}" name="Year 4" dataDxfId="14" dataCellStyle="Percent"/>
    <tableColumn id="6" xr3:uid="{E7BA8798-684E-D948-AF4B-8CB7400A324E}" name="Year 5" dataDxfId="13" dataCellStyle="Percent"/>
  </tableColumns>
  <tableStyleInfo name="TableStyleMedium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C73AFE6-AF52-A74B-AC68-99C7097F9EE1}" name="Table3569" displayName="Table3569" ref="X16:AC20" totalsRowShown="0" headerRowDxfId="12" dataDxfId="11" tableBorderDxfId="10">
  <tableColumns count="6">
    <tableColumn id="1" xr3:uid="{2421B8E3-35C7-F048-9DFB-26083F70E1DB}" name="Percentile" dataDxfId="9"/>
    <tableColumn id="2" xr3:uid="{FC9D154C-CF02-2442-B3DA-D943C64BE5CF}" name="Year 1 in %" dataDxfId="8" dataCellStyle="Percent"/>
    <tableColumn id="3" xr3:uid="{977044FC-90F0-E34E-85BF-729AFC17989F}" name="Year 2 in %" dataDxfId="7" dataCellStyle="Percent"/>
    <tableColumn id="4" xr3:uid="{C5C5C1CE-7F24-0D43-995A-0A43BDBA5499}" name="Year 3 in %" dataDxfId="6" dataCellStyle="Percent"/>
    <tableColumn id="5" xr3:uid="{FD6855FB-D4F8-4042-85B6-FEF75540969C}" name="Year 4 in %" dataDxfId="5" dataCellStyle="Percent"/>
    <tableColumn id="6" xr3:uid="{7EB3C2E3-B0EB-5842-9FC7-EF379A8C00C9}" name="Year 5 in %" dataDxfId="4" dataCellStyle="Percent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BA3CF9-88AF-B444-8F4C-16A88EA4496D}" name="Table1" displayName="Table1" ref="AM9:AQ19" totalsRowShown="0" headerRowDxfId="3" tableBorderDxfId="2">
  <autoFilter ref="AM9:AQ19" xr:uid="{5DBA3CF9-88AF-B444-8F4C-16A88EA4496D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7E1ABB18-A923-3746-B1D5-F0137D42B776}" name="Market Beta"/>
    <tableColumn id="2" xr3:uid="{B6DD78C3-A64F-0640-ADC6-33801A3C312B}" name="Size beta"/>
    <tableColumn id="3" xr3:uid="{B1F311FB-7C11-E74D-A102-390ECD05D63C}" name="Value beta"/>
    <tableColumn id="4" xr3:uid="{6A463E34-1112-6148-89EF-D913D85F7589}" name="Year 1" dataDxfId="1">
      <calculatedColumnFormula>AU10/100</calculatedColumnFormula>
    </tableColumn>
    <tableColumn id="10" xr3:uid="{73C17F1D-5028-0946-A0C2-BF500FE5922A}" name="Sharpe ratio" dataDxfId="0"/>
  </tableColumns>
  <tableStyleInfo name="TableStyleMedium18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36"/>
  <sheetViews>
    <sheetView tabSelected="1" topLeftCell="AK1" workbookViewId="0">
      <selection activeCell="AM9" sqref="AM9:AQ19"/>
    </sheetView>
  </sheetViews>
  <sheetFormatPr baseColWidth="10" defaultColWidth="8.83203125" defaultRowHeight="15" x14ac:dyDescent="0.2"/>
  <cols>
    <col min="1" max="1" width="10.6640625" bestFit="1" customWidth="1"/>
    <col min="2" max="2" width="8" bestFit="1" customWidth="1"/>
    <col min="3" max="3" width="9.5" bestFit="1" customWidth="1"/>
    <col min="4" max="4" width="9.1640625" bestFit="1" customWidth="1"/>
    <col min="5" max="9" width="0" hidden="1" customWidth="1"/>
    <col min="12" max="14" width="10.5" customWidth="1"/>
    <col min="15" max="15" width="9.33203125" bestFit="1" customWidth="1"/>
    <col min="16" max="17" width="7" bestFit="1" customWidth="1"/>
    <col min="18" max="18" width="7.5" bestFit="1" customWidth="1"/>
    <col min="19" max="20" width="7" bestFit="1" customWidth="1"/>
    <col min="25" max="25" width="9.5" bestFit="1" customWidth="1"/>
    <col min="26" max="29" width="10.5" bestFit="1" customWidth="1"/>
    <col min="39" max="39" width="13" customWidth="1"/>
    <col min="40" max="40" width="10.33203125" customWidth="1"/>
    <col min="41" max="41" width="11.83203125" customWidth="1"/>
    <col min="42" max="42" width="11" bestFit="1" customWidth="1"/>
    <col min="43" max="43" width="11.83203125" bestFit="1" customWidth="1"/>
  </cols>
  <sheetData>
    <row r="1" spans="1:47" x14ac:dyDescent="0.2">
      <c r="A1" s="1" t="s">
        <v>21</v>
      </c>
      <c r="B1" s="1" t="s">
        <v>22</v>
      </c>
      <c r="C1" s="1" t="s">
        <v>23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J1" s="2" t="s">
        <v>6</v>
      </c>
    </row>
    <row r="2" spans="1:47" ht="19" x14ac:dyDescent="0.25">
      <c r="A2" t="s">
        <v>5</v>
      </c>
      <c r="B2" t="s">
        <v>5</v>
      </c>
      <c r="C2" t="s">
        <v>5</v>
      </c>
      <c r="D2">
        <v>12.98</v>
      </c>
      <c r="E2">
        <v>28.09</v>
      </c>
      <c r="F2">
        <v>-16.760000000000002</v>
      </c>
      <c r="G2">
        <v>19.59</v>
      </c>
      <c r="H2">
        <v>28.78</v>
      </c>
      <c r="I2">
        <f>AVERAGE(D2:H2)</f>
        <v>14.536000000000001</v>
      </c>
      <c r="J2" s="3">
        <v>0.66</v>
      </c>
      <c r="K2">
        <f>1/J2</f>
        <v>1.5151515151515151</v>
      </c>
      <c r="L2">
        <f>J2*$K$2</f>
        <v>1</v>
      </c>
    </row>
    <row r="3" spans="1:47" ht="19" x14ac:dyDescent="0.25">
      <c r="A3">
        <v>1</v>
      </c>
      <c r="B3">
        <v>0.5</v>
      </c>
      <c r="C3">
        <v>0.5</v>
      </c>
      <c r="D3">
        <v>-15.55</v>
      </c>
      <c r="E3">
        <v>65.8</v>
      </c>
      <c r="F3">
        <v>-9.17</v>
      </c>
      <c r="G3">
        <v>1.46</v>
      </c>
      <c r="H3">
        <v>20.99</v>
      </c>
      <c r="I3">
        <f t="shared" ref="I3:I11" si="0">AVERAGE(D3:H3)</f>
        <v>12.706</v>
      </c>
      <c r="J3" s="3">
        <v>0.63851100000000005</v>
      </c>
      <c r="L3">
        <f t="shared" ref="L3:L11" si="1">J3*$K$2</f>
        <v>0.96744090909090918</v>
      </c>
    </row>
    <row r="4" spans="1:47" ht="19" x14ac:dyDescent="0.25">
      <c r="A4">
        <v>1</v>
      </c>
      <c r="B4">
        <v>0</v>
      </c>
      <c r="C4">
        <v>0</v>
      </c>
      <c r="D4">
        <v>3.87</v>
      </c>
      <c r="E4">
        <v>35.479999999999997</v>
      </c>
      <c r="F4">
        <v>-19.38</v>
      </c>
      <c r="G4">
        <v>9.8699999999999992</v>
      </c>
      <c r="H4">
        <v>19.510000000000002</v>
      </c>
      <c r="I4">
        <f t="shared" si="0"/>
        <v>9.8699999999999992</v>
      </c>
      <c r="J4" s="3">
        <v>0.57583099999999998</v>
      </c>
      <c r="L4">
        <f t="shared" si="1"/>
        <v>0.87247121212121204</v>
      </c>
    </row>
    <row r="5" spans="1:47" ht="19" x14ac:dyDescent="0.25">
      <c r="A5">
        <v>1</v>
      </c>
      <c r="B5">
        <v>1</v>
      </c>
      <c r="C5">
        <v>0</v>
      </c>
      <c r="D5">
        <v>13.26</v>
      </c>
      <c r="E5">
        <v>60.84</v>
      </c>
      <c r="F5">
        <v>1.17</v>
      </c>
      <c r="G5">
        <v>17.11</v>
      </c>
      <c r="H5">
        <v>14.34</v>
      </c>
      <c r="I5">
        <f t="shared" si="0"/>
        <v>21.344000000000001</v>
      </c>
      <c r="J5" s="3">
        <v>0.80489699999999997</v>
      </c>
      <c r="L5">
        <f t="shared" si="1"/>
        <v>1.2195409090909091</v>
      </c>
      <c r="N5" s="5"/>
    </row>
    <row r="6" spans="1:47" ht="19" x14ac:dyDescent="0.25">
      <c r="A6">
        <v>1</v>
      </c>
      <c r="B6">
        <v>0</v>
      </c>
      <c r="C6">
        <v>1</v>
      </c>
      <c r="D6">
        <v>-4.1100000000000003</v>
      </c>
      <c r="E6">
        <v>65.680000000000007</v>
      </c>
      <c r="F6">
        <v>-4.4000000000000004</v>
      </c>
      <c r="G6">
        <v>4.09</v>
      </c>
      <c r="H6">
        <v>19.55</v>
      </c>
      <c r="I6">
        <f t="shared" si="0"/>
        <v>16.161999999999999</v>
      </c>
      <c r="J6" s="3">
        <v>0.57071799999999995</v>
      </c>
      <c r="L6">
        <f t="shared" si="1"/>
        <v>0.86472424242424228</v>
      </c>
    </row>
    <row r="7" spans="1:47" ht="19" x14ac:dyDescent="0.25">
      <c r="A7">
        <v>1</v>
      </c>
      <c r="B7">
        <v>1</v>
      </c>
      <c r="C7">
        <v>1</v>
      </c>
      <c r="D7">
        <v>-5.33</v>
      </c>
      <c r="E7">
        <v>81.84</v>
      </c>
      <c r="F7">
        <v>8.6</v>
      </c>
      <c r="G7">
        <v>6.02</v>
      </c>
      <c r="H7">
        <v>15.67</v>
      </c>
      <c r="I7">
        <f t="shared" si="0"/>
        <v>21.36</v>
      </c>
      <c r="J7" s="3">
        <v>0.62882300000000002</v>
      </c>
      <c r="L7">
        <f t="shared" si="1"/>
        <v>0.95276212121212123</v>
      </c>
      <c r="R7" s="5" t="s">
        <v>24</v>
      </c>
    </row>
    <row r="8" spans="1:47" ht="19" x14ac:dyDescent="0.25">
      <c r="A8">
        <v>0.8</v>
      </c>
      <c r="B8">
        <v>1</v>
      </c>
      <c r="C8">
        <v>0.3</v>
      </c>
      <c r="D8">
        <v>7.75</v>
      </c>
      <c r="E8">
        <v>62.21</v>
      </c>
      <c r="F8">
        <v>2.39</v>
      </c>
      <c r="G8">
        <v>16.25</v>
      </c>
      <c r="H8">
        <v>19.73</v>
      </c>
      <c r="I8">
        <f t="shared" si="0"/>
        <v>21.666000000000004</v>
      </c>
      <c r="J8" s="3">
        <v>0.77927900000000005</v>
      </c>
      <c r="L8">
        <f t="shared" si="1"/>
        <v>1.1807257575757577</v>
      </c>
    </row>
    <row r="9" spans="1:47" ht="19" x14ac:dyDescent="0.25">
      <c r="A9">
        <v>0.8</v>
      </c>
      <c r="B9">
        <v>1</v>
      </c>
      <c r="C9">
        <v>0</v>
      </c>
      <c r="D9">
        <v>19.98</v>
      </c>
      <c r="E9">
        <v>56.45</v>
      </c>
      <c r="F9">
        <v>5.57</v>
      </c>
      <c r="G9">
        <v>29.09</v>
      </c>
      <c r="H9">
        <v>17.989999999999998</v>
      </c>
      <c r="I9">
        <f t="shared" si="0"/>
        <v>25.816000000000003</v>
      </c>
      <c r="J9" s="3">
        <v>0.93777100000000002</v>
      </c>
      <c r="L9">
        <f t="shared" si="1"/>
        <v>1.4208651515151516</v>
      </c>
      <c r="V9" s="3"/>
      <c r="AM9" s="8" t="s">
        <v>21</v>
      </c>
      <c r="AN9" s="9" t="s">
        <v>22</v>
      </c>
      <c r="AO9" s="9" t="s">
        <v>23</v>
      </c>
      <c r="AP9" s="9" t="s">
        <v>0</v>
      </c>
      <c r="AQ9" s="13" t="s">
        <v>25</v>
      </c>
    </row>
    <row r="10" spans="1:47" ht="19" x14ac:dyDescent="0.25">
      <c r="A10">
        <v>1.1000000000000001</v>
      </c>
      <c r="B10">
        <v>0</v>
      </c>
      <c r="C10">
        <v>0</v>
      </c>
      <c r="D10">
        <v>4.21</v>
      </c>
      <c r="E10">
        <v>35.79</v>
      </c>
      <c r="F10">
        <v>-21.99</v>
      </c>
      <c r="G10">
        <v>10.1</v>
      </c>
      <c r="H10">
        <v>12.02</v>
      </c>
      <c r="I10">
        <f t="shared" si="0"/>
        <v>8.0259999999999998</v>
      </c>
      <c r="J10" s="3">
        <v>0.575519</v>
      </c>
      <c r="L10">
        <f t="shared" si="1"/>
        <v>0.87199848484848486</v>
      </c>
      <c r="V10" s="3"/>
      <c r="AM10" s="10" t="s">
        <v>5</v>
      </c>
      <c r="AN10" s="10" t="s">
        <v>5</v>
      </c>
      <c r="AO10" s="10" t="s">
        <v>5</v>
      </c>
      <c r="AP10" s="11">
        <f>AU10/100</f>
        <v>0.1298</v>
      </c>
      <c r="AQ10" s="12">
        <v>0.66</v>
      </c>
      <c r="AU10" s="7">
        <v>12.98</v>
      </c>
    </row>
    <row r="11" spans="1:47" ht="19" x14ac:dyDescent="0.25">
      <c r="A11">
        <v>0.8</v>
      </c>
      <c r="B11">
        <v>1.1000000000000001</v>
      </c>
      <c r="C11">
        <v>0</v>
      </c>
      <c r="D11">
        <v>23.09</v>
      </c>
      <c r="E11">
        <v>58.79</v>
      </c>
      <c r="F11">
        <v>3</v>
      </c>
      <c r="G11">
        <v>30.65</v>
      </c>
      <c r="H11">
        <v>23.76</v>
      </c>
      <c r="I11">
        <f t="shared" si="0"/>
        <v>27.857999999999997</v>
      </c>
      <c r="J11" s="3">
        <v>0.98026400000000002</v>
      </c>
      <c r="L11">
        <f t="shared" si="1"/>
        <v>1.4852484848484848</v>
      </c>
      <c r="V11" s="3"/>
      <c r="AM11" s="10">
        <v>1</v>
      </c>
      <c r="AN11" s="10">
        <v>0</v>
      </c>
      <c r="AO11" s="10">
        <v>0</v>
      </c>
      <c r="AP11" s="11">
        <f t="shared" ref="AP11:AP19" si="2">AU11/100</f>
        <v>3.8699999999999998E-2</v>
      </c>
      <c r="AQ11" s="12">
        <v>0.61</v>
      </c>
      <c r="AU11" s="7">
        <v>3.87</v>
      </c>
    </row>
    <row r="12" spans="1:47" ht="19" x14ac:dyDescent="0.25">
      <c r="J12" s="3"/>
      <c r="V12" s="3"/>
      <c r="AM12" s="10">
        <v>1.1000000000000001</v>
      </c>
      <c r="AN12" s="10">
        <v>0</v>
      </c>
      <c r="AO12" s="10">
        <v>0</v>
      </c>
      <c r="AP12" s="11">
        <f t="shared" si="2"/>
        <v>4.2099999999999999E-2</v>
      </c>
      <c r="AQ12" s="12">
        <v>0.63</v>
      </c>
      <c r="AU12" s="7">
        <v>4.21</v>
      </c>
    </row>
    <row r="13" spans="1:47" ht="19" x14ac:dyDescent="0.25">
      <c r="V13" s="3"/>
      <c r="AM13" s="10">
        <v>1</v>
      </c>
      <c r="AN13" s="10">
        <v>0.5</v>
      </c>
      <c r="AO13" s="10">
        <v>0.5</v>
      </c>
      <c r="AP13" s="11">
        <f t="shared" si="2"/>
        <v>-0.1555</v>
      </c>
      <c r="AQ13" s="12">
        <v>0.63851100000000005</v>
      </c>
      <c r="AU13" s="7">
        <v>-15.55</v>
      </c>
    </row>
    <row r="14" spans="1:47" ht="19" x14ac:dyDescent="0.25">
      <c r="E14">
        <f>1.174*E2</f>
        <v>32.97766</v>
      </c>
      <c r="F14">
        <f>1.174*F2</f>
        <v>-19.67624</v>
      </c>
      <c r="G14">
        <f>1.174*G2</f>
        <v>22.998659999999997</v>
      </c>
      <c r="H14">
        <f>1.174*H2</f>
        <v>33.78772</v>
      </c>
      <c r="AM14" s="10">
        <v>1</v>
      </c>
      <c r="AN14" s="10">
        <v>1</v>
      </c>
      <c r="AO14" s="10">
        <v>1</v>
      </c>
      <c r="AP14" s="11">
        <f t="shared" si="2"/>
        <v>-5.33E-2</v>
      </c>
      <c r="AQ14" s="12">
        <v>0.65</v>
      </c>
      <c r="AU14" s="7">
        <v>-5.33</v>
      </c>
    </row>
    <row r="15" spans="1:47" ht="19" x14ac:dyDescent="0.25">
      <c r="AM15" s="10">
        <v>1</v>
      </c>
      <c r="AN15" s="10">
        <v>0</v>
      </c>
      <c r="AO15" s="10">
        <v>1</v>
      </c>
      <c r="AP15" s="11">
        <f t="shared" si="2"/>
        <v>-0.1411</v>
      </c>
      <c r="AQ15" s="12">
        <v>0.57071799999999995</v>
      </c>
      <c r="AU15" s="7">
        <v>-14.11</v>
      </c>
    </row>
    <row r="16" spans="1:47" ht="19" x14ac:dyDescent="0.25">
      <c r="O16" t="s">
        <v>7</v>
      </c>
      <c r="P16" t="s">
        <v>0</v>
      </c>
      <c r="Q16" t="s">
        <v>1</v>
      </c>
      <c r="R16" t="s">
        <v>2</v>
      </c>
      <c r="S16" t="s">
        <v>3</v>
      </c>
      <c r="T16" t="s">
        <v>4</v>
      </c>
      <c r="X16" t="s">
        <v>7</v>
      </c>
      <c r="Y16" t="s">
        <v>12</v>
      </c>
      <c r="Z16" t="s">
        <v>17</v>
      </c>
      <c r="AA16" t="s">
        <v>18</v>
      </c>
      <c r="AB16" t="s">
        <v>19</v>
      </c>
      <c r="AC16" t="s">
        <v>20</v>
      </c>
      <c r="AM16" s="10">
        <v>1</v>
      </c>
      <c r="AN16" s="10">
        <v>1</v>
      </c>
      <c r="AO16" s="10">
        <v>0</v>
      </c>
      <c r="AP16" s="11">
        <f t="shared" si="2"/>
        <v>0.1326</v>
      </c>
      <c r="AQ16" s="12">
        <v>0.84</v>
      </c>
      <c r="AU16" s="7">
        <v>13.26</v>
      </c>
    </row>
    <row r="17" spans="15:47" ht="19" x14ac:dyDescent="0.25">
      <c r="O17" t="s">
        <v>8</v>
      </c>
      <c r="P17" s="4">
        <v>-9</v>
      </c>
      <c r="Q17" s="4">
        <v>59.5</v>
      </c>
      <c r="R17" s="4">
        <v>61.2</v>
      </c>
      <c r="S17" s="4">
        <v>66</v>
      </c>
      <c r="T17" s="4">
        <v>103.9</v>
      </c>
      <c r="X17" t="s">
        <v>8</v>
      </c>
      <c r="Y17" s="4">
        <v>-4.7</v>
      </c>
      <c r="Z17" s="4">
        <v>61.1</v>
      </c>
      <c r="AA17" s="4">
        <v>-18.2</v>
      </c>
      <c r="AB17" s="4">
        <v>23.1</v>
      </c>
      <c r="AC17" s="4">
        <v>42</v>
      </c>
      <c r="AM17" s="10">
        <v>0.8</v>
      </c>
      <c r="AN17" s="10">
        <v>1</v>
      </c>
      <c r="AO17" s="10">
        <v>0.3</v>
      </c>
      <c r="AP17" s="11">
        <f t="shared" si="2"/>
        <v>7.7499999999999999E-2</v>
      </c>
      <c r="AQ17" s="12">
        <v>0.88</v>
      </c>
      <c r="AU17" s="7">
        <v>7.75</v>
      </c>
    </row>
    <row r="18" spans="15:47" ht="19" x14ac:dyDescent="0.25">
      <c r="O18" t="s">
        <v>9</v>
      </c>
      <c r="P18" s="4">
        <v>-8.6</v>
      </c>
      <c r="Q18" s="4">
        <v>54.9</v>
      </c>
      <c r="R18" s="4">
        <v>51</v>
      </c>
      <c r="S18" s="4">
        <v>60</v>
      </c>
      <c r="T18" s="4">
        <v>97.4</v>
      </c>
      <c r="X18" t="s">
        <v>9</v>
      </c>
      <c r="Y18" s="4">
        <v>-7.8</v>
      </c>
      <c r="Z18" s="4">
        <v>58</v>
      </c>
      <c r="AA18" s="4">
        <v>-19.399999999999999</v>
      </c>
      <c r="AB18" s="4">
        <v>21.3</v>
      </c>
      <c r="AC18" s="4">
        <v>40.1</v>
      </c>
      <c r="AM18" s="10">
        <v>0.8</v>
      </c>
      <c r="AN18" s="10">
        <v>1</v>
      </c>
      <c r="AO18" s="10">
        <v>0</v>
      </c>
      <c r="AP18" s="11">
        <f t="shared" si="2"/>
        <v>0.19980000000000001</v>
      </c>
      <c r="AQ18" s="12">
        <v>1</v>
      </c>
      <c r="AU18" s="7">
        <v>19.98</v>
      </c>
    </row>
    <row r="19" spans="15:47" ht="19" x14ac:dyDescent="0.25">
      <c r="O19" t="s">
        <v>10</v>
      </c>
      <c r="P19" s="4">
        <v>-16.2</v>
      </c>
      <c r="Q19" s="4">
        <v>44</v>
      </c>
      <c r="R19" s="4">
        <v>43.6</v>
      </c>
      <c r="S19" s="4">
        <v>44.7</v>
      </c>
      <c r="T19" s="4">
        <v>78.78</v>
      </c>
      <c r="X19" t="s">
        <v>10</v>
      </c>
      <c r="Y19" s="4">
        <v>-15</v>
      </c>
      <c r="Z19" s="4">
        <v>55.2</v>
      </c>
      <c r="AA19" s="4">
        <v>-20.7</v>
      </c>
      <c r="AB19" s="4">
        <v>19.899999999999999</v>
      </c>
      <c r="AC19" s="4">
        <v>37.200000000000003</v>
      </c>
      <c r="AM19" s="10">
        <v>0.8</v>
      </c>
      <c r="AN19" s="10">
        <v>1.1000000000000001</v>
      </c>
      <c r="AO19" s="10">
        <v>0</v>
      </c>
      <c r="AP19" s="11">
        <f t="shared" si="2"/>
        <v>0.23089999999999999</v>
      </c>
      <c r="AQ19" s="12">
        <v>1.08</v>
      </c>
      <c r="AU19" s="7">
        <v>23.09</v>
      </c>
    </row>
    <row r="20" spans="15:47" x14ac:dyDescent="0.2">
      <c r="O20" t="s">
        <v>11</v>
      </c>
      <c r="P20" s="4">
        <v>12.9</v>
      </c>
      <c r="Q20" s="4">
        <v>44.7</v>
      </c>
      <c r="R20" s="4">
        <v>20.5</v>
      </c>
      <c r="S20" s="4">
        <v>44.1</v>
      </c>
      <c r="T20" s="4">
        <v>85.5</v>
      </c>
      <c r="X20" t="s">
        <v>11</v>
      </c>
      <c r="Y20" s="4">
        <v>12.98</v>
      </c>
      <c r="Z20" s="4">
        <v>28.09</v>
      </c>
      <c r="AA20" s="4">
        <v>-16.760000000000002</v>
      </c>
      <c r="AB20" s="4">
        <v>19.59</v>
      </c>
      <c r="AC20" s="4">
        <v>28.78</v>
      </c>
    </row>
    <row r="21" spans="15:47" ht="19" x14ac:dyDescent="0.25">
      <c r="AQ21" s="6"/>
    </row>
    <row r="25" spans="15:47" x14ac:dyDescent="0.2">
      <c r="O25" t="s">
        <v>7</v>
      </c>
      <c r="P25" t="s">
        <v>0</v>
      </c>
      <c r="Q25" t="s">
        <v>1</v>
      </c>
      <c r="R25" t="s">
        <v>2</v>
      </c>
      <c r="S25" t="s">
        <v>3</v>
      </c>
      <c r="T25" t="s">
        <v>4</v>
      </c>
    </row>
    <row r="26" spans="15:47" x14ac:dyDescent="0.2">
      <c r="O26" t="s">
        <v>8</v>
      </c>
      <c r="P26" s="4">
        <v>-7.84</v>
      </c>
      <c r="Q26" s="4">
        <v>43.5</v>
      </c>
      <c r="R26" s="4">
        <v>16.2</v>
      </c>
      <c r="S26" s="4">
        <v>41.7</v>
      </c>
      <c r="T26" s="4">
        <v>99</v>
      </c>
      <c r="X26" t="s">
        <v>7</v>
      </c>
      <c r="Y26" t="s">
        <v>12</v>
      </c>
      <c r="Z26" t="s">
        <v>17</v>
      </c>
      <c r="AA26" t="s">
        <v>18</v>
      </c>
      <c r="AB26" t="s">
        <v>19</v>
      </c>
      <c r="AC26" t="s">
        <v>20</v>
      </c>
    </row>
    <row r="27" spans="15:47" x14ac:dyDescent="0.2">
      <c r="O27" t="s">
        <v>9</v>
      </c>
      <c r="P27" s="4">
        <v>-11</v>
      </c>
      <c r="Q27" s="4">
        <v>40.6</v>
      </c>
      <c r="R27" s="4">
        <v>13.7</v>
      </c>
      <c r="S27" s="4">
        <v>38.9</v>
      </c>
      <c r="T27" s="4">
        <v>92</v>
      </c>
      <c r="X27" t="s">
        <v>8</v>
      </c>
      <c r="Y27" s="4">
        <v>-12.3</v>
      </c>
      <c r="Z27" s="4">
        <v>53</v>
      </c>
      <c r="AA27" s="4">
        <v>3</v>
      </c>
      <c r="AB27" s="4">
        <v>18</v>
      </c>
      <c r="AC27" s="4">
        <v>28</v>
      </c>
    </row>
    <row r="28" spans="15:47" x14ac:dyDescent="0.2">
      <c r="O28" t="s">
        <v>10</v>
      </c>
      <c r="P28" s="4">
        <v>-13.7</v>
      </c>
      <c r="Q28" s="4">
        <v>38.1</v>
      </c>
      <c r="R28" s="4">
        <v>11.8</v>
      </c>
      <c r="S28" s="4">
        <v>34.5</v>
      </c>
      <c r="T28" s="4">
        <v>88</v>
      </c>
      <c r="X28" t="s">
        <v>9</v>
      </c>
      <c r="Y28" s="4">
        <v>-15.1</v>
      </c>
      <c r="Z28" s="4">
        <v>50.2</v>
      </c>
      <c r="AA28" s="4">
        <v>1.0900000000000001</v>
      </c>
      <c r="AB28" s="4">
        <v>16.899999999999999</v>
      </c>
      <c r="AC28" s="4">
        <v>26.5</v>
      </c>
    </row>
    <row r="29" spans="15:47" x14ac:dyDescent="0.2">
      <c r="O29" t="s">
        <v>11</v>
      </c>
      <c r="P29" s="4">
        <v>12.9</v>
      </c>
      <c r="Q29" s="4">
        <v>44.7</v>
      </c>
      <c r="R29" s="4">
        <v>20.5</v>
      </c>
      <c r="S29" s="4">
        <v>44.1</v>
      </c>
      <c r="T29" s="4">
        <v>85.5</v>
      </c>
      <c r="X29" t="s">
        <v>10</v>
      </c>
      <c r="Y29" s="4">
        <v>-17.989999999999998</v>
      </c>
      <c r="Z29" s="4">
        <v>48</v>
      </c>
      <c r="AA29" s="4">
        <v>1</v>
      </c>
      <c r="AB29" s="4">
        <v>13.6</v>
      </c>
      <c r="AC29" s="4">
        <v>24.2</v>
      </c>
    </row>
    <row r="30" spans="15:47" x14ac:dyDescent="0.2">
      <c r="X30" t="s">
        <v>11</v>
      </c>
      <c r="Y30" s="4">
        <v>12.98</v>
      </c>
      <c r="Z30" s="4">
        <v>28.09</v>
      </c>
      <c r="AA30" s="4">
        <v>-16.760000000000002</v>
      </c>
      <c r="AB30" s="4">
        <v>19.59</v>
      </c>
      <c r="AC30" s="4">
        <v>28.78</v>
      </c>
    </row>
    <row r="32" spans="15:47" x14ac:dyDescent="0.2">
      <c r="O32" t="s">
        <v>7</v>
      </c>
      <c r="P32" t="s">
        <v>12</v>
      </c>
      <c r="Q32" t="s">
        <v>13</v>
      </c>
      <c r="R32" t="s">
        <v>14</v>
      </c>
      <c r="S32" t="s">
        <v>15</v>
      </c>
      <c r="T32" t="s">
        <v>16</v>
      </c>
    </row>
    <row r="33" spans="15:20" x14ac:dyDescent="0.2">
      <c r="O33" t="s">
        <v>8</v>
      </c>
      <c r="P33" s="4">
        <v>-12</v>
      </c>
      <c r="Q33" s="4">
        <v>30</v>
      </c>
      <c r="R33" s="4">
        <v>31.8</v>
      </c>
      <c r="S33" s="4">
        <v>52.6</v>
      </c>
      <c r="T33" s="4">
        <v>94.1</v>
      </c>
    </row>
    <row r="34" spans="15:20" x14ac:dyDescent="0.2">
      <c r="O34" t="s">
        <v>9</v>
      </c>
      <c r="P34" s="4">
        <v>-15</v>
      </c>
      <c r="Q34" s="4">
        <v>50.2</v>
      </c>
      <c r="R34" s="4">
        <v>1.0900000000000001</v>
      </c>
      <c r="S34" s="4">
        <v>16.899999999999999</v>
      </c>
      <c r="T34" s="4">
        <v>26.5</v>
      </c>
    </row>
    <row r="35" spans="15:20" x14ac:dyDescent="0.2">
      <c r="O35" t="s">
        <v>10</v>
      </c>
      <c r="P35" s="4">
        <v>-12.4</v>
      </c>
      <c r="Q35" s="4">
        <v>21</v>
      </c>
      <c r="R35" s="4">
        <v>24.5</v>
      </c>
      <c r="S35" s="4">
        <v>47.3</v>
      </c>
      <c r="T35" s="4">
        <v>85.9</v>
      </c>
    </row>
    <row r="36" spans="15:20" x14ac:dyDescent="0.2">
      <c r="O36" t="s">
        <v>11</v>
      </c>
      <c r="P36" s="4">
        <v>12.98</v>
      </c>
      <c r="Q36" s="4">
        <v>28.09</v>
      </c>
      <c r="R36" s="4">
        <v>-16.760000000000002</v>
      </c>
      <c r="S36" s="4">
        <v>19.59</v>
      </c>
      <c r="T36" s="4">
        <v>28.78</v>
      </c>
    </row>
  </sheetData>
  <phoneticPr fontId="4" type="noConversion"/>
  <pageMargins left="0.75" right="0.75" top="1" bottom="1" header="0.5" footer="0.5"/>
  <pageSetup orientation="portrait" horizontalDpi="0" verticalDpi="0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downside_protection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FNU Johanan Anton Pranesh</cp:lastModifiedBy>
  <dcterms:created xsi:type="dcterms:W3CDTF">2024-11-10T07:04:43Z</dcterms:created>
  <dcterms:modified xsi:type="dcterms:W3CDTF">2024-11-13T22:08:59Z</dcterms:modified>
</cp:coreProperties>
</file>